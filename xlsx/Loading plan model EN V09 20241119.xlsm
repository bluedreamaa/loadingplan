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llection\ReactThreejsFiber\Containerloadingsys\public\xlsx\"/>
    </mc:Choice>
  </mc:AlternateContent>
  <xr:revisionPtr revIDLastSave="0" documentId="13_ncr:1_{0DFFD86C-D096-445F-A75B-2221804E12B6}" xr6:coauthVersionLast="47" xr6:coauthVersionMax="47" xr10:uidLastSave="{00000000-0000-0000-0000-000000000000}"/>
  <bookViews>
    <workbookView xWindow="-110" yWindow="-110" windowWidth="22620" windowHeight="13500" tabRatio="844" activeTab="3" xr2:uid="{00000000-000D-0000-FFFF-FFFF00000000}"/>
  </bookViews>
  <sheets>
    <sheet name="Powerpackdata" sheetId="225" r:id="rId1"/>
    <sheet name="condition" sheetId="240" state="hidden" r:id="rId2"/>
    <sheet name="Parameter" sheetId="227" state="hidden" r:id="rId3"/>
    <sheet name="Shiplist" sheetId="237" r:id="rId4"/>
    <sheet name="Loadingmenu" sheetId="165" r:id="rId5"/>
  </sheets>
  <functionGroups builtInGroupCount="19"/>
  <definedNames>
    <definedName name="_xlnm._FilterDatabase" localSheetId="0" hidden="1">Powerpackdata!$A$1:$X$667</definedName>
    <definedName name="cbSubLevels">"CheckBox1"</definedName>
    <definedName name="DataArea">Loadingmenu!$A$5:$AC$1545</definedName>
    <definedName name="loadingType">Parameter!$B$2:$B$8</definedName>
    <definedName name="packingtype">Parameter!#REF!</definedName>
    <definedName name="_xlnm.Print_Area" localSheetId="4">Loadingmenu!$V:$AJ</definedName>
    <definedName name="_xlnm.Print_Titles" localSheetId="4">Loadingmenu!$1:$5</definedName>
    <definedName name="集装箱">Parameter!$C$8:$C$18</definedName>
    <definedName name="卡车">Parameter!$C$2:$C$7</definedName>
  </definedNames>
  <calcPr calcId="191029"/>
</workbook>
</file>

<file path=xl/calcChain.xml><?xml version="1.0" encoding="utf-8"?>
<calcChain xmlns="http://schemas.openxmlformats.org/spreadsheetml/2006/main">
  <c r="L9" i="240" l="1"/>
  <c r="L8" i="240"/>
  <c r="L7" i="240"/>
  <c r="L6" i="240"/>
  <c r="L5" i="240"/>
  <c r="L4" i="240"/>
  <c r="L3" i="240"/>
  <c r="L2" i="240"/>
  <c r="H16" i="227"/>
  <c r="H15" i="227"/>
  <c r="H14" i="227"/>
  <c r="H13" i="227"/>
  <c r="H12" i="227"/>
  <c r="H11" i="227"/>
  <c r="H10" i="227"/>
  <c r="H9" i="227"/>
  <c r="H8" i="227"/>
  <c r="H7" i="227"/>
  <c r="H6" i="227"/>
  <c r="H5" i="227"/>
  <c r="H4" i="227"/>
  <c r="H3" i="227"/>
  <c r="H2" i="227"/>
  <c r="S490" i="225"/>
  <c r="S439" i="225"/>
  <c r="S389" i="225"/>
  <c r="S387" i="225"/>
  <c r="T345" i="225"/>
  <c r="T344" i="225"/>
  <c r="T343" i="225"/>
  <c r="T342" i="225"/>
  <c r="T339" i="225"/>
  <c r="T338" i="225"/>
  <c r="T337" i="225"/>
  <c r="T334" i="225"/>
  <c r="T331" i="225"/>
  <c r="T328" i="225"/>
  <c r="T324" i="225"/>
  <c r="T322" i="225"/>
  <c r="T321" i="225"/>
  <c r="T320" i="225"/>
  <c r="T319" i="225"/>
  <c r="T315" i="225"/>
  <c r="T104" i="225"/>
  <c r="T102" i="225"/>
  <c r="T58" i="225"/>
  <c r="T56" i="225"/>
  <c r="T55" i="225"/>
  <c r="T54" i="225"/>
</calcChain>
</file>

<file path=xl/sharedStrings.xml><?xml version="1.0" encoding="utf-8"?>
<sst xmlns="http://schemas.openxmlformats.org/spreadsheetml/2006/main" count="5500" uniqueCount="1674">
  <si>
    <t>LSA54</t>
  </si>
  <si>
    <t>LSA56</t>
  </si>
  <si>
    <t>LSA53</t>
  </si>
  <si>
    <t>No.</t>
    <phoneticPr fontId="9" type="noConversion"/>
  </si>
  <si>
    <t>ItemNumber</t>
  </si>
  <si>
    <t>IPClass</t>
  </si>
  <si>
    <t>PPackingSize</t>
  </si>
  <si>
    <t>PPackingWeight</t>
  </si>
  <si>
    <t>TotalWeightIP</t>
  </si>
  <si>
    <t>ItemShippingWeight</t>
  </si>
  <si>
    <t>Packingtype</t>
    <phoneticPr fontId="9" type="noConversion"/>
  </si>
  <si>
    <t>IP23</t>
    <phoneticPr fontId="9" type="noConversion"/>
  </si>
  <si>
    <t>OE120302_Z</t>
  </si>
  <si>
    <t>LSA501</t>
  </si>
  <si>
    <t>LSA501</t>
    <phoneticPr fontId="9" type="noConversion"/>
  </si>
  <si>
    <t>L80</t>
  </si>
  <si>
    <t>DB</t>
  </si>
  <si>
    <t>IP23</t>
  </si>
  <si>
    <t>2000*1370*1410</t>
  </si>
  <si>
    <t>SO501Z00701</t>
  </si>
  <si>
    <t>SO 501 Z007 B</t>
  </si>
  <si>
    <t>OE120301_Z</t>
  </si>
  <si>
    <t>L90</t>
  </si>
  <si>
    <t>OE181110_Z</t>
  </si>
  <si>
    <t>IP44</t>
  </si>
  <si>
    <t>2017*1170*1500</t>
  </si>
  <si>
    <t>SO501Z020</t>
  </si>
  <si>
    <t>SO 501 Z020 A</t>
  </si>
  <si>
    <t>OE130610T1_Z</t>
  </si>
  <si>
    <t>M60</t>
  </si>
  <si>
    <t>2300*1890*1800</t>
  </si>
  <si>
    <t>SO501Z01501</t>
  </si>
  <si>
    <t>SO 501 Z015 A</t>
  </si>
  <si>
    <t>OE161105_Z</t>
  </si>
  <si>
    <t>IP54</t>
  </si>
  <si>
    <t>2700*1800*1850</t>
  </si>
  <si>
    <t>SO501Z00501</t>
  </si>
  <si>
    <t>SO 501 Z005 A</t>
  </si>
  <si>
    <t>OE110901_Z</t>
  </si>
  <si>
    <t>IP55</t>
  </si>
  <si>
    <t>OE130512_Z</t>
  </si>
  <si>
    <t>SB</t>
  </si>
  <si>
    <t>1740*1274*1490</t>
  </si>
  <si>
    <t>SO501Z01301</t>
  </si>
  <si>
    <t>SO 501 Z013 A</t>
  </si>
  <si>
    <t>OE140104_Z</t>
  </si>
  <si>
    <t>M70</t>
  </si>
  <si>
    <t>1940*1274*1495</t>
  </si>
  <si>
    <t>SO501Z01701</t>
  </si>
  <si>
    <t>SO 501 Z017 A</t>
  </si>
  <si>
    <t>OE150203_Z</t>
  </si>
  <si>
    <t>S20</t>
  </si>
  <si>
    <t>OE160406_Z</t>
  </si>
  <si>
    <t>S40</t>
  </si>
  <si>
    <t>2750*1800*1850</t>
  </si>
  <si>
    <t>SO501Z019</t>
  </si>
  <si>
    <t>SO 501 Z019</t>
  </si>
  <si>
    <t>OE180305_Z</t>
  </si>
  <si>
    <t>UL80</t>
  </si>
  <si>
    <t>2255*1600*1554</t>
  </si>
  <si>
    <t>SO501Z00904</t>
  </si>
  <si>
    <t>SO 501 Z009 B</t>
  </si>
  <si>
    <t>OE130701_Z</t>
  </si>
  <si>
    <t>2075*1600*1554</t>
  </si>
  <si>
    <t>SO501Z00903</t>
  </si>
  <si>
    <t>OE180402_Z</t>
  </si>
  <si>
    <t>VL60</t>
  </si>
  <si>
    <t>2200*1500*1500</t>
  </si>
  <si>
    <t>SO501Z00902</t>
  </si>
  <si>
    <t>OE120701_Z</t>
  </si>
  <si>
    <t>2000*1600*1554</t>
  </si>
  <si>
    <t>SO501Z00901</t>
  </si>
  <si>
    <t>OE140409_Z</t>
  </si>
  <si>
    <t>XL100</t>
  </si>
  <si>
    <t>LL9224</t>
    <phoneticPr fontId="9" type="noConversion"/>
  </si>
  <si>
    <t>LSA512</t>
    <phoneticPr fontId="9" type="noConversion"/>
  </si>
  <si>
    <t>LL9224F</t>
    <phoneticPr fontId="9" type="noConversion"/>
  </si>
  <si>
    <t>SB</t>
    <phoneticPr fontId="9" type="noConversion"/>
  </si>
  <si>
    <t>1969*1294*1615</t>
    <phoneticPr fontId="9" type="noConversion"/>
  </si>
  <si>
    <t>SO051Z03601_Z</t>
  </si>
  <si>
    <t>LL9224H</t>
    <phoneticPr fontId="9" type="noConversion"/>
  </si>
  <si>
    <t>2069*1294*1615</t>
    <phoneticPr fontId="9" type="noConversion"/>
  </si>
  <si>
    <t>SO051Z03602_Z</t>
  </si>
  <si>
    <t>LL9224L</t>
    <phoneticPr fontId="9" type="noConversion"/>
  </si>
  <si>
    <t>2169*1294*1615</t>
    <phoneticPr fontId="9" type="noConversion"/>
  </si>
  <si>
    <t>SO051Z03603_Z</t>
  </si>
  <si>
    <t>LL9224P/R</t>
    <phoneticPr fontId="9" type="noConversion"/>
  </si>
  <si>
    <t>2269*1294*1615</t>
    <phoneticPr fontId="9" type="noConversion"/>
  </si>
  <si>
    <t>SO051Z03604_Z</t>
  </si>
  <si>
    <t>L</t>
    <phoneticPr fontId="9" type="noConversion"/>
  </si>
  <si>
    <t>DB</t>
    <phoneticPr fontId="9" type="noConversion"/>
  </si>
  <si>
    <t>2220*1294*1615</t>
    <phoneticPr fontId="9" type="noConversion"/>
  </si>
  <si>
    <t>SO512Z00203_Z</t>
  </si>
  <si>
    <t>SO512Z00207_Z</t>
  </si>
  <si>
    <t>IP44</t>
    <phoneticPr fontId="9" type="noConversion"/>
  </si>
  <si>
    <t>2370*1494*1615</t>
    <phoneticPr fontId="9" type="noConversion"/>
  </si>
  <si>
    <t>SO512Z00307_Z</t>
  </si>
  <si>
    <t>2060*1294*1615</t>
    <phoneticPr fontId="9" type="noConversion"/>
  </si>
  <si>
    <t>SO512Z00103_Z</t>
  </si>
  <si>
    <t>2180*1294*1615</t>
    <phoneticPr fontId="9" type="noConversion"/>
  </si>
  <si>
    <t>SO512Z00107_Z</t>
  </si>
  <si>
    <t>1980*1644*1615</t>
    <phoneticPr fontId="9" type="noConversion"/>
  </si>
  <si>
    <t>SO512Z00501_Z</t>
  </si>
  <si>
    <t>2100*1644*1615</t>
    <phoneticPr fontId="9" type="noConversion"/>
  </si>
  <si>
    <t>SO512Z00703_Z</t>
  </si>
  <si>
    <t>2200*1644*1615</t>
    <phoneticPr fontId="9" type="noConversion"/>
  </si>
  <si>
    <t>SO512Z00707_Z</t>
  </si>
  <si>
    <t>OE140907_Z</t>
  </si>
  <si>
    <t>LSA512</t>
  </si>
  <si>
    <t>2060*1294*1615</t>
  </si>
  <si>
    <t>SO512Z00103</t>
  </si>
  <si>
    <t>SO 512 Z001 A</t>
  </si>
  <si>
    <t>M</t>
    <phoneticPr fontId="9" type="noConversion"/>
  </si>
  <si>
    <t>2120*1294*1615</t>
    <phoneticPr fontId="9" type="noConversion"/>
  </si>
  <si>
    <t>SO512Z00202_Z</t>
  </si>
  <si>
    <t>2240*1294*1615</t>
    <phoneticPr fontId="9" type="noConversion"/>
  </si>
  <si>
    <t>SO512Z00206_Z</t>
  </si>
  <si>
    <t>2270*1494*1615</t>
    <phoneticPr fontId="9" type="noConversion"/>
  </si>
  <si>
    <t>SO512Z00306_Z</t>
  </si>
  <si>
    <t>1960*1294*1615</t>
    <phoneticPr fontId="9" type="noConversion"/>
  </si>
  <si>
    <t>SO512Z00102_Z</t>
  </si>
  <si>
    <t>2080*1294*1615</t>
    <phoneticPr fontId="9" type="noConversion"/>
  </si>
  <si>
    <t>SO512Z00106_Z</t>
  </si>
  <si>
    <t>1960*1204*1615</t>
    <phoneticPr fontId="9" type="noConversion"/>
  </si>
  <si>
    <t>SO051000202_Z</t>
  </si>
  <si>
    <t>2000*1644*1615</t>
    <phoneticPr fontId="9" type="noConversion"/>
  </si>
  <si>
    <t>SO512Z00702_Z</t>
  </si>
  <si>
    <t>SO512Z00706_Z</t>
  </si>
  <si>
    <t>OE150310_Z</t>
  </si>
  <si>
    <t>2080*1294*1615</t>
  </si>
  <si>
    <t>SO512Z00106</t>
  </si>
  <si>
    <t>S</t>
    <phoneticPr fontId="9" type="noConversion"/>
  </si>
  <si>
    <t>2300*1294*1765</t>
    <phoneticPr fontId="9" type="noConversion"/>
  </si>
  <si>
    <t>SO512Z00201_Z</t>
  </si>
  <si>
    <t>SO512Z00205_Z</t>
  </si>
  <si>
    <t>SO512Z00305_Z</t>
  </si>
  <si>
    <t>OE141003_Z</t>
  </si>
  <si>
    <t>1980*1294*1615</t>
  </si>
  <si>
    <t>SO512Z00105</t>
  </si>
  <si>
    <t>SO512Z00101_Z</t>
  </si>
  <si>
    <t>SO512Z00105_Z</t>
  </si>
  <si>
    <t>SO512Z00701_Z</t>
  </si>
  <si>
    <t>SO512Z00705_Z</t>
  </si>
  <si>
    <t>VL</t>
    <phoneticPr fontId="9" type="noConversion"/>
  </si>
  <si>
    <t>2280*1294*1770</t>
    <phoneticPr fontId="9" type="noConversion"/>
  </si>
  <si>
    <t>SO512Z00204_Z</t>
  </si>
  <si>
    <t>2440*1294*1770</t>
    <phoneticPr fontId="9" type="noConversion"/>
  </si>
  <si>
    <t>SO512Z00208_Z</t>
  </si>
  <si>
    <t>2470*1494*1770</t>
    <phoneticPr fontId="9" type="noConversion"/>
  </si>
  <si>
    <t>SO512Z00308_Z</t>
  </si>
  <si>
    <t>2160*1294*1770</t>
    <phoneticPr fontId="9" type="noConversion"/>
  </si>
  <si>
    <t>SO512Z00104_Z</t>
  </si>
  <si>
    <t>SO512Z00108_Z</t>
  </si>
  <si>
    <t>2200*1644*1770</t>
    <phoneticPr fontId="9" type="noConversion"/>
  </si>
  <si>
    <t>SO512Z00704_Z</t>
  </si>
  <si>
    <t>2300*1644*1770</t>
    <phoneticPr fontId="9" type="noConversion"/>
  </si>
  <si>
    <t>SO512Z00708_Z</t>
  </si>
  <si>
    <t>LSAM512</t>
    <phoneticPr fontId="9" type="noConversion"/>
  </si>
  <si>
    <t>2260*1494*1770</t>
    <phoneticPr fontId="9" type="noConversion"/>
  </si>
  <si>
    <t>SO512Z00303_Z</t>
  </si>
  <si>
    <t>2160*1494*1770</t>
    <phoneticPr fontId="9" type="noConversion"/>
  </si>
  <si>
    <t>SO512Z00302_Z</t>
  </si>
  <si>
    <t>2060*1494*1770</t>
    <phoneticPr fontId="9" type="noConversion"/>
  </si>
  <si>
    <t>SO512Z00301_Z</t>
  </si>
  <si>
    <t>OE130702_Z</t>
  </si>
  <si>
    <t>LSAM512</t>
  </si>
  <si>
    <t>S55</t>
    <phoneticPr fontId="9" type="noConversion"/>
  </si>
  <si>
    <t>2060*1524*1665</t>
    <phoneticPr fontId="9" type="noConversion"/>
  </si>
  <si>
    <t>SO051Z01901</t>
  </si>
  <si>
    <t>SO 051 Z019 A</t>
  </si>
  <si>
    <t>2360*1494*1665</t>
    <phoneticPr fontId="9" type="noConversion"/>
  </si>
  <si>
    <t>SO512Z00304_Z</t>
  </si>
  <si>
    <t>OE190103_Z</t>
  </si>
  <si>
    <t>ZL70</t>
  </si>
  <si>
    <t>2580*1644*1670</t>
  </si>
  <si>
    <t>SO051Z01304</t>
  </si>
  <si>
    <t>SO 051 Z013</t>
  </si>
  <si>
    <t>OE170610_Z</t>
  </si>
  <si>
    <t>LSA522</t>
  </si>
  <si>
    <t>LSA522</t>
    <phoneticPr fontId="9" type="noConversion"/>
  </si>
  <si>
    <t>L45</t>
  </si>
  <si>
    <t>2240*1644*1675</t>
  </si>
  <si>
    <t>SO051Z01002</t>
  </si>
  <si>
    <t>SO 051 Z010 C</t>
  </si>
  <si>
    <t>OE150104_Z</t>
  </si>
  <si>
    <t>2180*1644*1670</t>
  </si>
  <si>
    <t>SO051Z01302</t>
  </si>
  <si>
    <t>SO 051 Z013 B</t>
  </si>
  <si>
    <t>OE120801_Z</t>
  </si>
  <si>
    <t>L65</t>
  </si>
  <si>
    <t>2100*1400*1675</t>
  </si>
  <si>
    <t>SO051Z00603</t>
  </si>
  <si>
    <t>SO 051 Z006 D</t>
  </si>
  <si>
    <t>OE200516_Z</t>
  </si>
  <si>
    <t>L70</t>
  </si>
  <si>
    <t>2300*1780*1320</t>
  </si>
  <si>
    <t>SO051Z061</t>
  </si>
  <si>
    <t>SO 051 Z061</t>
  </si>
  <si>
    <t>OE170814T1_Z</t>
  </si>
  <si>
    <t>2775*2040*1576</t>
  </si>
  <si>
    <t>SO051Z048</t>
  </si>
  <si>
    <t>SO 051 Z048 A</t>
  </si>
  <si>
    <t>OE140302_Z</t>
  </si>
  <si>
    <t>L75</t>
  </si>
  <si>
    <t>2450*2340*2050</t>
  </si>
  <si>
    <t>SO051Z02701</t>
  </si>
  <si>
    <t>SO 051 Z027 A</t>
  </si>
  <si>
    <t>OE120101_Z</t>
  </si>
  <si>
    <t>M55</t>
  </si>
  <si>
    <t>2000*1400*1675</t>
  </si>
  <si>
    <t>SO051Z00602</t>
  </si>
  <si>
    <t>OE130611T1_Z</t>
  </si>
  <si>
    <t>2980*2094*2060</t>
  </si>
  <si>
    <t>SO051Z02101</t>
  </si>
  <si>
    <t>SO 051 Z021 A</t>
  </si>
  <si>
    <t>OE210313T1_Z</t>
  </si>
  <si>
    <t>M65</t>
  </si>
  <si>
    <t>2300*1500*1800</t>
  </si>
  <si>
    <t>SO051Z062</t>
  </si>
  <si>
    <t>SO 051 Z062</t>
  </si>
  <si>
    <t>OE190710_Z</t>
  </si>
  <si>
    <t>S50</t>
  </si>
  <si>
    <t>2660*1640*1600</t>
  </si>
  <si>
    <t>SO051Z057</t>
  </si>
  <si>
    <t>SO 051 Z057 A</t>
  </si>
  <si>
    <t>OE190901_Z</t>
  </si>
  <si>
    <t>S55</t>
  </si>
  <si>
    <t>2250*2194*2040</t>
  </si>
  <si>
    <t>SO 051 Z054</t>
  </si>
  <si>
    <t>SO 051 Z054 A</t>
  </si>
  <si>
    <t>OE170703_Z</t>
  </si>
  <si>
    <t>SL80</t>
  </si>
  <si>
    <t>2840*1900*1542</t>
  </si>
  <si>
    <t>SO051Z045</t>
  </si>
  <si>
    <t>SO 051 Z045 A</t>
  </si>
  <si>
    <t>OE140305T1_Z</t>
  </si>
  <si>
    <t>VL80</t>
  </si>
  <si>
    <t>2520*1914*2112</t>
  </si>
  <si>
    <t>SO051Z03201</t>
  </si>
  <si>
    <t>SO 051 Z032 A</t>
  </si>
  <si>
    <t>OE140513_Z</t>
  </si>
  <si>
    <t>VL85</t>
  </si>
  <si>
    <t>2265*1584*1570</t>
  </si>
  <si>
    <t>SO051Z03501</t>
  </si>
  <si>
    <t>SO 051 Z035 A</t>
  </si>
  <si>
    <t>OE191206T1_Z</t>
  </si>
  <si>
    <t>3200*2430*1790</t>
  </si>
  <si>
    <t>SO051Z060</t>
  </si>
  <si>
    <t>SO 051 Z060 B</t>
  </si>
  <si>
    <t>OE190904_Z</t>
  </si>
  <si>
    <t>2550*1964*2000</t>
  </si>
  <si>
    <t>SO 051 Z055</t>
  </si>
  <si>
    <t>SO 051 Z055 A</t>
  </si>
  <si>
    <t>OE210508_Z</t>
  </si>
  <si>
    <t>3100*1800*1850</t>
  </si>
  <si>
    <t>SO051Z063</t>
  </si>
  <si>
    <t>SO 051 Z063</t>
  </si>
  <si>
    <t>OE140401_Z</t>
  </si>
  <si>
    <t>2280*1344*1620</t>
  </si>
  <si>
    <t>SO051Z03101</t>
  </si>
  <si>
    <t>SO 051 Z031</t>
  </si>
  <si>
    <t>OE110503_Z</t>
  </si>
  <si>
    <t>2600*1600*1775</t>
  </si>
  <si>
    <t>SO051Z00301</t>
  </si>
  <si>
    <t>SO 051 Z003 A</t>
  </si>
  <si>
    <t>OE200303_Z</t>
  </si>
  <si>
    <t>VL90</t>
  </si>
  <si>
    <t>3100*2400*1950</t>
  </si>
  <si>
    <t>SO051Z059</t>
  </si>
  <si>
    <t>SO 051 Z059</t>
  </si>
  <si>
    <t>OE160305_Z</t>
  </si>
  <si>
    <t>VL95</t>
  </si>
  <si>
    <t>2280*1294*1615</t>
  </si>
  <si>
    <t>SO512Z00204</t>
  </si>
  <si>
    <t>SO 512 Z002 B</t>
  </si>
  <si>
    <t>OE121118_Z</t>
  </si>
  <si>
    <t>3330*2344*2085</t>
  </si>
  <si>
    <t>SO051Z01701</t>
  </si>
  <si>
    <t>SO 051 Z017 A</t>
  </si>
  <si>
    <t>OE140602_Z</t>
  </si>
  <si>
    <t>XL60</t>
  </si>
  <si>
    <t>2640*1644*1684</t>
  </si>
  <si>
    <t>SO051Z01007</t>
  </si>
  <si>
    <t>OE180205_Z</t>
    <phoneticPr fontId="9" type="noConversion"/>
  </si>
  <si>
    <t>XL65</t>
  </si>
  <si>
    <t>2640*1644*1733</t>
  </si>
  <si>
    <t>SO051Z02803</t>
  </si>
  <si>
    <t>SO 051 Z028 B</t>
  </si>
  <si>
    <t>OE121006_Z</t>
  </si>
  <si>
    <t>2480*1644*1684</t>
  </si>
  <si>
    <t>SO051Z01303</t>
  </si>
  <si>
    <t>OE191117_Z</t>
  </si>
  <si>
    <t>XL70</t>
  </si>
  <si>
    <t>2540*1644*1684</t>
  </si>
  <si>
    <t>SO051Z01003</t>
  </si>
  <si>
    <t>OE140402_Z</t>
  </si>
  <si>
    <t>XL80</t>
  </si>
  <si>
    <t>2640*1644*1675</t>
  </si>
  <si>
    <t>OE151003_Z</t>
  </si>
  <si>
    <t>2360*1634*1660</t>
  </si>
  <si>
    <t>SO051Z02801</t>
  </si>
  <si>
    <t>OE120908_Z</t>
  </si>
  <si>
    <t>2480*1644*1670</t>
  </si>
  <si>
    <t>OE171210_Z</t>
  </si>
  <si>
    <t>ZL</t>
  </si>
  <si>
    <t>SO051Z01004</t>
  </si>
  <si>
    <t>OE180606_Z</t>
  </si>
  <si>
    <t>2580*1644*1772</t>
  </si>
  <si>
    <t>SO051Z02802</t>
  </si>
  <si>
    <t>OE160817_Z</t>
  </si>
  <si>
    <t>ZL50</t>
  </si>
  <si>
    <t>2740*1644*1733</t>
  </si>
  <si>
    <t>SO051Z02804</t>
  </si>
  <si>
    <t>OE160402_Z</t>
  </si>
  <si>
    <t>ZL60</t>
  </si>
  <si>
    <t>SO051Z01008</t>
  </si>
  <si>
    <t>OE140702_Z</t>
  </si>
  <si>
    <t>OE171214_Z</t>
  </si>
  <si>
    <t>2640*1644*1594</t>
  </si>
  <si>
    <t>SO051Z050</t>
  </si>
  <si>
    <t>SO 051 Z050 A</t>
  </si>
  <si>
    <t>OE170401_Z</t>
  </si>
  <si>
    <t>OE200806_Z</t>
  </si>
  <si>
    <t>OE200203_Z</t>
  </si>
  <si>
    <t>2740*1644*1740</t>
  </si>
  <si>
    <t>OE170603_Z</t>
  </si>
  <si>
    <t>OE120604_Z</t>
  </si>
  <si>
    <t>ZL80</t>
  </si>
  <si>
    <t>OE5230020_Z</t>
  </si>
  <si>
    <t>LL9324</t>
  </si>
  <si>
    <t>LSA523</t>
    <phoneticPr fontId="9" type="noConversion"/>
  </si>
  <si>
    <t>LL9324F</t>
    <phoneticPr fontId="9" type="noConversion"/>
  </si>
  <si>
    <t>1887*1414*1677</t>
  </si>
  <si>
    <t>SO523Z00401</t>
  </si>
  <si>
    <t>SO 523 Z004 A</t>
  </si>
  <si>
    <t>OE5230023_Z</t>
  </si>
  <si>
    <t>LL9324H</t>
  </si>
  <si>
    <t>LL9324N</t>
    <phoneticPr fontId="9" type="noConversion"/>
  </si>
  <si>
    <t>1887*1414*1730</t>
  </si>
  <si>
    <t>SO523Z00401</t>
    <phoneticPr fontId="9" type="noConversion"/>
  </si>
  <si>
    <t>OE5230025_Z</t>
  </si>
  <si>
    <t>LL9324P</t>
  </si>
  <si>
    <t>2087*1414*1677</t>
  </si>
  <si>
    <t>SO523Z00403</t>
  </si>
  <si>
    <t>LL9324R</t>
    <phoneticPr fontId="9" type="noConversion"/>
  </si>
  <si>
    <t>2280*1394*1520</t>
    <phoneticPr fontId="9" type="noConversion"/>
  </si>
  <si>
    <t>SO523Z00106_Z</t>
  </si>
  <si>
    <t>2390*1394*1520</t>
    <phoneticPr fontId="9" type="noConversion"/>
  </si>
  <si>
    <t>SO523Z00108_Z</t>
  </si>
  <si>
    <t>2080*1394*1520</t>
    <phoneticPr fontId="9" type="noConversion"/>
  </si>
  <si>
    <t>SO523Z00102_Z</t>
  </si>
  <si>
    <t>2240*1394*1520</t>
    <phoneticPr fontId="9" type="noConversion"/>
  </si>
  <si>
    <t>SO523Z00104_Z</t>
  </si>
  <si>
    <t>OE200821_Z</t>
  </si>
  <si>
    <t>LSA523</t>
  </si>
  <si>
    <t>L12</t>
  </si>
  <si>
    <t>2390*1780*1520</t>
    <phoneticPr fontId="9" type="noConversion"/>
  </si>
  <si>
    <t>SO523Z012</t>
  </si>
  <si>
    <t>SO 523 Z012</t>
  </si>
  <si>
    <t>OE170505_Z</t>
  </si>
  <si>
    <t>2530*1894*1912</t>
  </si>
  <si>
    <t>SO051Z046</t>
  </si>
  <si>
    <t>SO 051 Z046</t>
  </si>
  <si>
    <t>OE160906_Z</t>
  </si>
  <si>
    <t>2240*1394*1730</t>
  </si>
  <si>
    <t>SO523Z00104</t>
  </si>
  <si>
    <t>SO 523 Z001 E</t>
  </si>
  <si>
    <t>OE141005_Z</t>
  </si>
  <si>
    <t>L9</t>
  </si>
  <si>
    <t>2030*1394*1730</t>
  </si>
  <si>
    <t>SO523Z00105</t>
  </si>
  <si>
    <t>OE160814_Z</t>
  </si>
  <si>
    <t>2240*1394*1750</t>
  </si>
  <si>
    <t>OE200611_Z</t>
  </si>
  <si>
    <t>L9M</t>
  </si>
  <si>
    <t>2080*1394*1750</t>
  </si>
  <si>
    <t>SO523Z00102</t>
  </si>
  <si>
    <t>SO 523 Z001 F</t>
  </si>
  <si>
    <t>2080*1394*2000</t>
    <phoneticPr fontId="9" type="noConversion"/>
  </si>
  <si>
    <t>SO523Z00105_Z</t>
  </si>
  <si>
    <t>2190*1394*2000</t>
    <phoneticPr fontId="9" type="noConversion"/>
  </si>
  <si>
    <t>SO523Z00107_Z</t>
  </si>
  <si>
    <t>1880*1394*2000</t>
    <phoneticPr fontId="9" type="noConversion"/>
  </si>
  <si>
    <t>SO523Z00101_Z</t>
  </si>
  <si>
    <t>2040*1394*2000</t>
    <phoneticPr fontId="9" type="noConversion"/>
  </si>
  <si>
    <t>SO523Z00103_Z</t>
  </si>
  <si>
    <t>OE190208_Z</t>
  </si>
  <si>
    <t>S5</t>
  </si>
  <si>
    <t>2260*1394*1800</t>
  </si>
  <si>
    <t>SO 523 Z007 A</t>
  </si>
  <si>
    <t>OE210214_Z</t>
  </si>
  <si>
    <t>1880*1394*1750</t>
  </si>
  <si>
    <t>SO523Z00101</t>
  </si>
  <si>
    <t>OE190108_Z</t>
  </si>
  <si>
    <t>S6</t>
  </si>
  <si>
    <t>2190*1694*1650</t>
  </si>
  <si>
    <t>SO523Z006</t>
  </si>
  <si>
    <t>SO 523 Z006 A</t>
  </si>
  <si>
    <t>OE141004_Z</t>
  </si>
  <si>
    <t>1880*1394*1730</t>
  </si>
  <si>
    <t>OE150501_Z</t>
  </si>
  <si>
    <t>S7</t>
  </si>
  <si>
    <t>OE190701_Z</t>
  </si>
  <si>
    <t>S7M</t>
  </si>
  <si>
    <t>UL</t>
    <phoneticPr fontId="9" type="noConversion"/>
  </si>
  <si>
    <t>2480*1394*2000</t>
    <phoneticPr fontId="9" type="noConversion"/>
  </si>
  <si>
    <t>SO523Z00109_Z</t>
  </si>
  <si>
    <t>2700*1394*2000</t>
    <phoneticPr fontId="9" type="noConversion"/>
  </si>
  <si>
    <t>SO523Z00111_Z</t>
  </si>
  <si>
    <t>2430*1394*2000</t>
    <phoneticPr fontId="9" type="noConversion"/>
  </si>
  <si>
    <t>SO523Z01604_Z</t>
  </si>
  <si>
    <t>2300*1394*2000</t>
    <phoneticPr fontId="9" type="noConversion"/>
  </si>
  <si>
    <t>SO523Z00112_Z</t>
  </si>
  <si>
    <t>SO523Z01601_Z</t>
  </si>
  <si>
    <t>OE170708_Z</t>
  </si>
  <si>
    <t>UL16</t>
  </si>
  <si>
    <t>2390*1394*2000</t>
  </si>
  <si>
    <t>SO523Z00109</t>
  </si>
  <si>
    <t>OE180709_Z</t>
  </si>
  <si>
    <t>LSAM523</t>
  </si>
  <si>
    <t>2390*1200*2000</t>
  </si>
  <si>
    <t>SO523Z00108</t>
  </si>
  <si>
    <t>SO 523 Z001</t>
  </si>
  <si>
    <t>OE160304_Z</t>
  </si>
  <si>
    <t>2240*1644*1730</t>
  </si>
  <si>
    <t>SO523Z003</t>
  </si>
  <si>
    <t>SO 523 Z003 A</t>
  </si>
  <si>
    <t>OE200713_Z</t>
  </si>
  <si>
    <t>2080*1494*1750</t>
  </si>
  <si>
    <t>SO523Z009</t>
  </si>
  <si>
    <t>SO 523 Z009</t>
  </si>
  <si>
    <t>OE151201_Z</t>
  </si>
  <si>
    <t>1880*1494*1730</t>
  </si>
  <si>
    <t>SO523Z002</t>
  </si>
  <si>
    <t>SO 523 Z002 A</t>
  </si>
  <si>
    <t>OE150705_Z</t>
  </si>
  <si>
    <t>LSA531</t>
    <phoneticPr fontId="9" type="noConversion"/>
  </si>
  <si>
    <t>2890*1934*2210</t>
  </si>
  <si>
    <t>SO053Z006</t>
  </si>
  <si>
    <t>SO 053 Z006 A</t>
  </si>
  <si>
    <t>OE191106T1_Z</t>
  </si>
  <si>
    <t>L95</t>
  </si>
  <si>
    <t>2639*1804*2013</t>
  </si>
  <si>
    <t>SO531Z028</t>
  </si>
  <si>
    <t>SO 531 Z028</t>
  </si>
  <si>
    <t>OE191118_Z</t>
  </si>
  <si>
    <t>M11</t>
  </si>
  <si>
    <t>2776*1480*1740</t>
  </si>
  <si>
    <t>SO531Z01103</t>
  </si>
  <si>
    <t>SO 531 Z011 E</t>
  </si>
  <si>
    <t>OE191205_Z</t>
  </si>
  <si>
    <t>M12</t>
  </si>
  <si>
    <t>2776*1580*2200</t>
  </si>
  <si>
    <t>OE120906_Z</t>
  </si>
  <si>
    <t>M80</t>
  </si>
  <si>
    <t>2876*1804*1985</t>
    <phoneticPr fontId="9" type="noConversion"/>
  </si>
  <si>
    <t>SO053Z00301</t>
  </si>
  <si>
    <t>SO 053 Z003 B</t>
  </si>
  <si>
    <t>OE200517T2_Z</t>
  </si>
  <si>
    <t>M85</t>
  </si>
  <si>
    <t>3306*1922*2360</t>
  </si>
  <si>
    <t>SO053Z011</t>
  </si>
  <si>
    <t>SO 053 Z011</t>
  </si>
  <si>
    <t>OE191201T1_Z</t>
  </si>
  <si>
    <t>3280*1720*1810</t>
  </si>
  <si>
    <t>SO053Z010</t>
  </si>
  <si>
    <t>SO 053 Z010</t>
  </si>
  <si>
    <t>OE120102_Z</t>
  </si>
  <si>
    <t>3340*1934*2215</t>
  </si>
  <si>
    <t>SO053Z00101</t>
  </si>
  <si>
    <t>SO 053 Z001 B</t>
  </si>
  <si>
    <t>OE180105_Z</t>
  </si>
  <si>
    <t>S70</t>
  </si>
  <si>
    <t>2676*1480*1740</t>
  </si>
  <si>
    <t>SO531Z00102</t>
  </si>
  <si>
    <t>SO 531 Z001 G</t>
  </si>
  <si>
    <t>OE200209T1_Z</t>
  </si>
  <si>
    <t>2680*2104*2250</t>
  </si>
  <si>
    <t>SO053Z009</t>
  </si>
  <si>
    <t>SO 053 Z009</t>
  </si>
  <si>
    <t>OE150107_Z</t>
  </si>
  <si>
    <t>S75</t>
  </si>
  <si>
    <t>3240*1934*2217</t>
  </si>
  <si>
    <t>SO 053 Z005 A</t>
  </si>
  <si>
    <t>OE200711_Z</t>
  </si>
  <si>
    <t>UL85</t>
  </si>
  <si>
    <t>3076*1480*1740</t>
  </si>
  <si>
    <t>SO531Z01906</t>
  </si>
  <si>
    <t>SO 531 Z019 B</t>
  </si>
  <si>
    <t>OE181012_Z</t>
  </si>
  <si>
    <t>VL7</t>
  </si>
  <si>
    <t>2976*1480*1740</t>
  </si>
  <si>
    <t>SO531Z01905</t>
  </si>
  <si>
    <t>OE180601_Z</t>
  </si>
  <si>
    <t>VL7IDC</t>
  </si>
  <si>
    <t>OE210514_Z</t>
  </si>
  <si>
    <t>VL8</t>
  </si>
  <si>
    <t>OE161004_Z</t>
  </si>
  <si>
    <t>3600*1480*1750</t>
  </si>
  <si>
    <t>SO053Z008</t>
  </si>
  <si>
    <t>SO 053 Z008 A</t>
  </si>
  <si>
    <t>OE200805_Z</t>
  </si>
  <si>
    <t>XL11</t>
  </si>
  <si>
    <t>3176*1480*1800</t>
  </si>
  <si>
    <t>SO531Z01908</t>
  </si>
  <si>
    <t>OE181111_Z</t>
  </si>
  <si>
    <t>XL11IDC</t>
  </si>
  <si>
    <t>OE210308_Z</t>
  </si>
  <si>
    <t>OE181015_Z</t>
  </si>
  <si>
    <t>XL9IDC</t>
  </si>
  <si>
    <t>OE180407_Z</t>
  </si>
  <si>
    <t>OE200501_Z</t>
  </si>
  <si>
    <t>ZL12</t>
  </si>
  <si>
    <t>3276*1480*1800</t>
  </si>
  <si>
    <t>SO531Z01909</t>
  </si>
  <si>
    <t>OE201213_Z</t>
  </si>
  <si>
    <t>ZL12IDC</t>
  </si>
  <si>
    <t>OE200520_Z</t>
  </si>
  <si>
    <t>ZL14</t>
  </si>
  <si>
    <t>OE200704_Z</t>
  </si>
  <si>
    <t>ZL14IDC</t>
  </si>
  <si>
    <t>OE150103_Z</t>
  </si>
  <si>
    <t>LSA531</t>
  </si>
  <si>
    <t>2626*1660*1750</t>
  </si>
  <si>
    <t>SO531Z01401</t>
  </si>
  <si>
    <t>SO 531 Z014 A</t>
  </si>
  <si>
    <t>OE130303T1_Z</t>
  </si>
  <si>
    <t>M75</t>
  </si>
  <si>
    <t>2776*1480*1870</t>
  </si>
  <si>
    <t>SO531Z00103</t>
  </si>
  <si>
    <t>OE130608_Z</t>
  </si>
  <si>
    <t>OE120603_Z</t>
  </si>
  <si>
    <t>OE140307_Z</t>
  </si>
  <si>
    <t>2520*1694*1794</t>
  </si>
  <si>
    <t>SO531Z01201</t>
  </si>
  <si>
    <t>SO 531 Z012 A</t>
  </si>
  <si>
    <t>OE121206_Z</t>
  </si>
  <si>
    <t>OE150605_Z</t>
  </si>
  <si>
    <t>OE120203_Z</t>
  </si>
  <si>
    <t>OE171101_Z</t>
  </si>
  <si>
    <t>UL</t>
  </si>
  <si>
    <t>OE140802_Z</t>
  </si>
  <si>
    <t>UL70</t>
  </si>
  <si>
    <t>SO531Z00106</t>
  </si>
  <si>
    <t>OE190109_Z</t>
  </si>
  <si>
    <t>OE160813_Z</t>
  </si>
  <si>
    <t>OE150903_Z</t>
  </si>
  <si>
    <t>2951*1905*1693</t>
  </si>
  <si>
    <t>SO531Z015</t>
  </si>
  <si>
    <t>SO 531 Z015 A</t>
  </si>
  <si>
    <t>OE120802_Z</t>
  </si>
  <si>
    <t>OE160302_Z</t>
  </si>
  <si>
    <t>OE170310_Z</t>
  </si>
  <si>
    <t>OE160309_Z</t>
  </si>
  <si>
    <t>VL75</t>
  </si>
  <si>
    <t>SO531Z00105</t>
  </si>
  <si>
    <t>OE121113_Z</t>
  </si>
  <si>
    <t>OE130403_Z</t>
  </si>
  <si>
    <t>OE140707_Z</t>
  </si>
  <si>
    <t>SO531Z01301</t>
  </si>
  <si>
    <t>SO 531 Z013 A</t>
  </si>
  <si>
    <t>OE200412_Z</t>
  </si>
  <si>
    <t>OE171011_Z</t>
  </si>
  <si>
    <t>XL9</t>
  </si>
  <si>
    <t>OE191101_Z</t>
  </si>
  <si>
    <t>LSA532</t>
  </si>
  <si>
    <t>LSA532</t>
    <phoneticPr fontId="9" type="noConversion"/>
  </si>
  <si>
    <t>L14</t>
  </si>
  <si>
    <t>2960*1550*1870</t>
  </si>
  <si>
    <t>SO532Z016</t>
  </si>
  <si>
    <t>SO 532 Z016 A</t>
  </si>
  <si>
    <t>OE190910_Z</t>
  </si>
  <si>
    <t>2900*2020*2140</t>
  </si>
  <si>
    <t>SO532Z014</t>
  </si>
  <si>
    <t>SO 532 Z014 A</t>
  </si>
  <si>
    <t>OE180505_Z</t>
  </si>
  <si>
    <t>OE180904_Z</t>
  </si>
  <si>
    <t>2776*1580*1900</t>
  </si>
  <si>
    <t>OE161203_Z</t>
  </si>
  <si>
    <t>OE181208_Z</t>
  </si>
  <si>
    <t>M7</t>
  </si>
  <si>
    <t>2660*1862*1715</t>
  </si>
  <si>
    <t>SO532Z010</t>
  </si>
  <si>
    <t>SO 532 Z010 A</t>
  </si>
  <si>
    <t>OE201004_Z</t>
  </si>
  <si>
    <t>2900*1580*2200</t>
  </si>
  <si>
    <t>SO531Z03003</t>
  </si>
  <si>
    <t>SO 531 Z030</t>
  </si>
  <si>
    <t>OE200814_Z</t>
  </si>
  <si>
    <t>M9</t>
  </si>
  <si>
    <t>SO531Z01903</t>
  </si>
  <si>
    <t>OE200215_Z</t>
  </si>
  <si>
    <t>2900*1580*1800</t>
  </si>
  <si>
    <t>OE191007_Z</t>
  </si>
  <si>
    <t>IP56</t>
  </si>
  <si>
    <t>2739*2223*2200</t>
  </si>
  <si>
    <t>SO531Z027</t>
  </si>
  <si>
    <t>SO 531 Z027</t>
  </si>
  <si>
    <t>OE200512_Z</t>
  </si>
  <si>
    <t>OE210516_Z</t>
    <phoneticPr fontId="9" type="noConversion"/>
  </si>
  <si>
    <t>VL10</t>
  </si>
  <si>
    <t>2860*1592*1688</t>
  </si>
  <si>
    <t>SO532Z00103</t>
  </si>
  <si>
    <t>SO 532 Z001 E</t>
  </si>
  <si>
    <t>OE161213_Z</t>
  </si>
  <si>
    <t>OE180810_Z</t>
  </si>
  <si>
    <t>VL6</t>
  </si>
  <si>
    <t>SO 531 Z019</t>
  </si>
  <si>
    <t>OE200401_Z</t>
  </si>
  <si>
    <t>OE191103_Z</t>
  </si>
  <si>
    <t>2700*1380*1700</t>
  </si>
  <si>
    <t>SO532Z015</t>
  </si>
  <si>
    <t>SO 532 Z015 A</t>
  </si>
  <si>
    <t>OE170503_Z</t>
  </si>
  <si>
    <t>OE170710_Z</t>
  </si>
  <si>
    <t>OE210101_Z</t>
  </si>
  <si>
    <t>OE190704_Z</t>
  </si>
  <si>
    <t>OE161106_Z</t>
  </si>
  <si>
    <t>OE190112_Z</t>
  </si>
  <si>
    <t>3080*1780*1800</t>
  </si>
  <si>
    <t>SO531Z025</t>
  </si>
  <si>
    <t>SO 531 Z025 A</t>
  </si>
  <si>
    <t>OE160812_Z</t>
  </si>
  <si>
    <t>3060*1592*1688</t>
  </si>
  <si>
    <t>SO532Z00101</t>
  </si>
  <si>
    <t>OE191115_Z</t>
  </si>
  <si>
    <t>3176*1480*1740</t>
  </si>
  <si>
    <t>OE181201_Z</t>
  </si>
  <si>
    <t>OE190307_Z</t>
  </si>
  <si>
    <t>OE170711_Z</t>
  </si>
  <si>
    <t>XL13</t>
  </si>
  <si>
    <t>OE210806_Z</t>
  </si>
  <si>
    <t>OE190601_Z</t>
  </si>
  <si>
    <t>XL14</t>
  </si>
  <si>
    <t>3176*1580*1870</t>
  </si>
  <si>
    <t>SO531Z024</t>
  </si>
  <si>
    <t>SO 531 Z024</t>
  </si>
  <si>
    <t>OE170807_Z</t>
  </si>
  <si>
    <t>OE190309_Z</t>
  </si>
  <si>
    <t>3280*1694*1732</t>
  </si>
  <si>
    <t>SO531Z020</t>
  </si>
  <si>
    <t>SO 531 Z020 A</t>
  </si>
  <si>
    <t>OEZ190008_Z</t>
  </si>
  <si>
    <t>OE190305_Z</t>
  </si>
  <si>
    <t>OE180907_Z</t>
  </si>
  <si>
    <t>OE180404_Z</t>
  </si>
  <si>
    <t>ZL10</t>
  </si>
  <si>
    <t>OE180309_Z</t>
  </si>
  <si>
    <t>OE160501_Z</t>
  </si>
  <si>
    <t>3176*1480*1745</t>
  </si>
  <si>
    <t>SO531Z00108</t>
  </si>
  <si>
    <t>OE190207_Z</t>
  </si>
  <si>
    <t>OE180504_Z</t>
  </si>
  <si>
    <t>OE210805_Z</t>
  </si>
  <si>
    <t>OE200414_Z</t>
  </si>
  <si>
    <t>ZL14IDC</t>
    <phoneticPr fontId="9" type="noConversion"/>
  </si>
  <si>
    <t>OE190809_Z</t>
  </si>
  <si>
    <t>LSA532-9Y9</t>
  </si>
  <si>
    <t>VL8</t>
    <phoneticPr fontId="9" type="noConversion"/>
  </si>
  <si>
    <t>OE171107_Z</t>
  </si>
  <si>
    <t>XL11</t>
    <phoneticPr fontId="9" type="noConversion"/>
  </si>
  <si>
    <t>OE170509_Z</t>
  </si>
  <si>
    <t>XL115</t>
    <phoneticPr fontId="9" type="noConversion"/>
  </si>
  <si>
    <t>OE170608_Z</t>
  </si>
  <si>
    <t>XL9</t>
    <phoneticPr fontId="9" type="noConversion"/>
  </si>
  <si>
    <t>OE150105_Z</t>
  </si>
  <si>
    <t>LSA54</t>
    <phoneticPr fontId="9" type="noConversion"/>
  </si>
  <si>
    <t>2876*1480*1832</t>
  </si>
  <si>
    <t>SO531Z00104</t>
  </si>
  <si>
    <t>OE130201_Z</t>
  </si>
  <si>
    <t>2776*1480*1832</t>
  </si>
  <si>
    <t>OE120402_Z</t>
  </si>
  <si>
    <t>OE130614T1_Z</t>
  </si>
  <si>
    <t>3310*2234*2273</t>
  </si>
  <si>
    <t>SO055Z00501</t>
  </si>
  <si>
    <t>SO 055 Z005 A</t>
  </si>
  <si>
    <t>OE200105_Z</t>
  </si>
  <si>
    <t>M90</t>
  </si>
  <si>
    <t>OE190117_Z</t>
  </si>
  <si>
    <t>MZL110</t>
  </si>
  <si>
    <t>3030*1600*2100</t>
  </si>
  <si>
    <t>SO055Z013</t>
  </si>
  <si>
    <t>SO 055 Z013 A</t>
  </si>
  <si>
    <t>OE171105_Z</t>
  </si>
  <si>
    <t>2976*1480*1817</t>
  </si>
  <si>
    <t>SO055Z011</t>
  </si>
  <si>
    <t>SO 055 Z011 A</t>
  </si>
  <si>
    <t>OE110601_Z</t>
  </si>
  <si>
    <t>IP21</t>
  </si>
  <si>
    <t>2576*1700*1840</t>
  </si>
  <si>
    <t>SO055Z00101</t>
  </si>
  <si>
    <t>SO 055 Z001 A</t>
  </si>
  <si>
    <t>OE181023_Z</t>
  </si>
  <si>
    <t>2976*1480*1832</t>
  </si>
  <si>
    <t>SO531Z01105</t>
  </si>
  <si>
    <t>OE181001T1RW1_Z</t>
  </si>
  <si>
    <t>UL105</t>
  </si>
  <si>
    <t>1934*3315*2415</t>
  </si>
  <si>
    <t>SO055Z014</t>
  </si>
  <si>
    <t>SO 055 Z014</t>
  </si>
  <si>
    <t>OE181115_Z</t>
  </si>
  <si>
    <t>UL90</t>
  </si>
  <si>
    <t>2930*1600*2100</t>
  </si>
  <si>
    <t>SO055Z012</t>
  </si>
  <si>
    <t>SO 055 Z012 A</t>
  </si>
  <si>
    <t>OE160803_Z</t>
  </si>
  <si>
    <t>VL</t>
  </si>
  <si>
    <t>2940*2224*2062</t>
  </si>
  <si>
    <t>SO055Z010</t>
  </si>
  <si>
    <t>SO 055 Z010 A</t>
  </si>
  <si>
    <t>OE130306_Z</t>
  </si>
  <si>
    <t>3076*1480*1832</t>
  </si>
  <si>
    <t>SO531Z00107</t>
  </si>
  <si>
    <t>OE201201_Z</t>
  </si>
  <si>
    <t>2976*1500*1860</t>
  </si>
  <si>
    <t>SO055Z019</t>
  </si>
  <si>
    <t>SO 055 Z019</t>
  </si>
  <si>
    <t>OE210403_Z</t>
  </si>
  <si>
    <t>2837*1500*1840</t>
  </si>
  <si>
    <t>SO055Z020</t>
  </si>
  <si>
    <t>SO 055 Z020</t>
  </si>
  <si>
    <t>OE141104_Z</t>
  </si>
  <si>
    <t>OE160110_Z</t>
  </si>
  <si>
    <t>VS45</t>
  </si>
  <si>
    <t>2576*1580*1700</t>
  </si>
  <si>
    <t>SO531Z017</t>
  </si>
  <si>
    <t>SO 531 Z017 A</t>
  </si>
  <si>
    <t>OE141105T1_Z</t>
  </si>
  <si>
    <t>VS55</t>
  </si>
  <si>
    <t>3140*2214*2120</t>
  </si>
  <si>
    <t>SO055Z007</t>
  </si>
  <si>
    <t>SO 055 Z007 A</t>
  </si>
  <si>
    <t>OE210420_Z</t>
  </si>
  <si>
    <t>OE130307_Z</t>
  </si>
  <si>
    <t>XL75</t>
  </si>
  <si>
    <t>3176*1480*1832</t>
  </si>
  <si>
    <t>OE171024_Z</t>
  </si>
  <si>
    <t>3176*1480*1833</t>
  </si>
  <si>
    <t>OE151004_Z</t>
  </si>
  <si>
    <t>XL85</t>
  </si>
  <si>
    <t>OE170308_Z</t>
  </si>
  <si>
    <t>OE160205_Z</t>
  </si>
  <si>
    <t>XL95</t>
  </si>
  <si>
    <t>3200*2284*1835</t>
  </si>
  <si>
    <t>SO055Z008</t>
  </si>
  <si>
    <t>SO 055 Z008 A</t>
  </si>
  <si>
    <t>OE160504_Z</t>
  </si>
  <si>
    <t>ZL105</t>
  </si>
  <si>
    <t>3276*1480*1832</t>
  </si>
  <si>
    <t>SO531Z00109</t>
  </si>
  <si>
    <t>OE200304_Z</t>
  </si>
  <si>
    <t>LSA542</t>
  </si>
  <si>
    <t>AL16</t>
  </si>
  <si>
    <t>3656*2852*2170</t>
  </si>
  <si>
    <t>SO531Z029</t>
  </si>
  <si>
    <t>SO 531 Z029</t>
  </si>
  <si>
    <t>OE200321_Z</t>
  </si>
  <si>
    <t>M</t>
  </si>
  <si>
    <t>2800*2380*2287</t>
  </si>
  <si>
    <t>SO055Z018</t>
  </si>
  <si>
    <t>SO 055 Z018</t>
  </si>
  <si>
    <t>OE201207_Z</t>
  </si>
  <si>
    <t>ML16</t>
  </si>
  <si>
    <t>3082*1600*2450</t>
  </si>
  <si>
    <t>SO542Z004</t>
  </si>
  <si>
    <t>SO 542 Z004</t>
  </si>
  <si>
    <t>OE210604_Z</t>
  </si>
  <si>
    <t>XL</t>
  </si>
  <si>
    <t>3600*1800*2450</t>
  </si>
  <si>
    <t>SO542Z005</t>
  </si>
  <si>
    <t>SO 542 Z005</t>
  </si>
  <si>
    <t>OE201222_Z</t>
  </si>
  <si>
    <t>OE201203_Z</t>
  </si>
  <si>
    <t>3200*2280*2450</t>
  </si>
  <si>
    <t>SO055Z017</t>
  </si>
  <si>
    <t>SO 055 Z017</t>
  </si>
  <si>
    <t>OE191207_Z</t>
  </si>
  <si>
    <t>OE210716_Z</t>
  </si>
  <si>
    <t>3240*1667*1820</t>
  </si>
  <si>
    <t>SO542Z00102</t>
  </si>
  <si>
    <t xml:space="preserve">SO 542 Z001 </t>
  </si>
  <si>
    <t>OE181020_Z</t>
  </si>
  <si>
    <t>OE180710_Z</t>
  </si>
  <si>
    <t>OE190803_Z</t>
  </si>
  <si>
    <t>LSA56</t>
    <phoneticPr fontId="9" type="noConversion"/>
  </si>
  <si>
    <t>BAL120</t>
  </si>
  <si>
    <t>3850*2034*1992</t>
  </si>
  <si>
    <t>SO256Z028</t>
  </si>
  <si>
    <t>SO 256 Z028 A</t>
  </si>
  <si>
    <t>OE130604_Z</t>
  </si>
  <si>
    <t>BBL125</t>
  </si>
  <si>
    <t>4025*2294*2345</t>
  </si>
  <si>
    <t>SO256Z00401</t>
  </si>
  <si>
    <t>SO 256 Z004 A</t>
  </si>
  <si>
    <t>OE180501_Z</t>
  </si>
  <si>
    <t>3965*2500*2250</t>
  </si>
  <si>
    <t>SO256Z018</t>
  </si>
  <si>
    <t>SO 256 Z018 A</t>
  </si>
  <si>
    <t>OE200404T1_Z</t>
  </si>
  <si>
    <t>BL135</t>
  </si>
  <si>
    <t>4000*2300*2400</t>
  </si>
  <si>
    <t>SO256Z034</t>
  </si>
  <si>
    <t>SO 256 Z034</t>
  </si>
  <si>
    <t>OE130101_Z</t>
  </si>
  <si>
    <t>BL70</t>
  </si>
  <si>
    <t>3625*2254*2790</t>
  </si>
  <si>
    <t>SO256Z00101</t>
  </si>
  <si>
    <t>SO 256 Z001 A</t>
  </si>
  <si>
    <t>OE180401_Z</t>
  </si>
  <si>
    <t>BMAL115</t>
  </si>
  <si>
    <t>4275*1990*2330</t>
  </si>
  <si>
    <t>SO256Z019</t>
  </si>
  <si>
    <t>SO 256 Z019 A</t>
  </si>
  <si>
    <t>OE180202_Z</t>
  </si>
  <si>
    <t>BMBL130</t>
  </si>
  <si>
    <t>3960*1850*2250</t>
  </si>
  <si>
    <t>SO256Z017</t>
  </si>
  <si>
    <t>SO 256 Z017 A</t>
  </si>
  <si>
    <t>OE606669_Z</t>
  </si>
  <si>
    <t>BMZL110</t>
  </si>
  <si>
    <t>3905*2364*2945</t>
  </si>
  <si>
    <t>SO256Z013</t>
  </si>
  <si>
    <t>SO 256 Z013 A</t>
  </si>
  <si>
    <t>OE200901_Z</t>
  </si>
  <si>
    <t>3840*2160*2800</t>
  </si>
  <si>
    <t>SO256Z035</t>
  </si>
  <si>
    <t>SO 256 Z035</t>
  </si>
  <si>
    <t>OE190310_Z</t>
  </si>
  <si>
    <t>BUL85</t>
  </si>
  <si>
    <t>3625*2174*2355</t>
  </si>
  <si>
    <t>SO256Z021</t>
  </si>
  <si>
    <t>SO 256 Z021 A</t>
  </si>
  <si>
    <t>OE190609_Z</t>
  </si>
  <si>
    <t>3300*2100*2350</t>
  </si>
  <si>
    <t>SO256Z030</t>
  </si>
  <si>
    <t>SO 256 Z030 A</t>
  </si>
  <si>
    <t>OE171104_Z</t>
  </si>
  <si>
    <t>3560*1850*2250</t>
  </si>
  <si>
    <t>SO256Z016</t>
  </si>
  <si>
    <t>SO 256 Z016 A</t>
  </si>
  <si>
    <t>OE201221_Z</t>
  </si>
  <si>
    <t>3740*2250*2850</t>
  </si>
  <si>
    <t>SO256Z044</t>
  </si>
  <si>
    <t>SO 256 Z044</t>
  </si>
  <si>
    <t>OE170609_Z</t>
  </si>
  <si>
    <t>BVL80</t>
  </si>
  <si>
    <t>3035*2034*2250</t>
  </si>
  <si>
    <t>SO256Z01501</t>
  </si>
  <si>
    <t>SO 256 Z015 A</t>
  </si>
  <si>
    <t>OE190511_Z</t>
  </si>
  <si>
    <t>2930*1890*2201</t>
  </si>
  <si>
    <t>SO256Z026</t>
  </si>
  <si>
    <t>SO 256 Z026 B</t>
  </si>
  <si>
    <t>OE181009_Z</t>
  </si>
  <si>
    <t>DL145</t>
  </si>
  <si>
    <t>4195*2194*2780</t>
  </si>
  <si>
    <t>SO256Z00502</t>
  </si>
  <si>
    <t>SO 256 Z005 C</t>
  </si>
  <si>
    <t>OE201010_Z</t>
  </si>
  <si>
    <t>4400*2150*2450</t>
  </si>
  <si>
    <t>SO256Z041</t>
  </si>
  <si>
    <t>SO 256 Z041</t>
  </si>
  <si>
    <t>OE140107_Z</t>
  </si>
  <si>
    <t>4195*2194*2611</t>
  </si>
  <si>
    <t>SO 256 Z005 B</t>
  </si>
  <si>
    <t>OE200718_Z</t>
  </si>
  <si>
    <t>3000*1820*2100</t>
  </si>
  <si>
    <t>SO256Z036</t>
  </si>
  <si>
    <t>SO 256 Z036</t>
  </si>
  <si>
    <t>OE201110_Z</t>
  </si>
  <si>
    <t>2940*2540*2800</t>
  </si>
  <si>
    <t>SO256Z039</t>
  </si>
  <si>
    <t>SO 256 Z039</t>
  </si>
  <si>
    <t>OE200413_Z</t>
  </si>
  <si>
    <t>3190*2154*2250</t>
  </si>
  <si>
    <t>SO256Z020</t>
  </si>
  <si>
    <t>SO 256 Z020 B</t>
  </si>
  <si>
    <t>OE200319_Z</t>
  </si>
  <si>
    <t>2700*1800*2100</t>
  </si>
  <si>
    <t>SO256Z033</t>
  </si>
  <si>
    <t>SO 256 Z033</t>
  </si>
  <si>
    <t>OE180704_Z</t>
  </si>
  <si>
    <t>OE210307_Z</t>
  </si>
  <si>
    <t>MBL130</t>
  </si>
  <si>
    <t>4200*2615*3042</t>
  </si>
  <si>
    <t>SO256Z048</t>
  </si>
  <si>
    <t>SO 256 Z048</t>
  </si>
  <si>
    <t>OE190905_Z</t>
  </si>
  <si>
    <t>S</t>
  </si>
  <si>
    <t>2736*2050*2200</t>
  </si>
  <si>
    <t>SO256Z032</t>
  </si>
  <si>
    <t>SO 256 Z032</t>
  </si>
  <si>
    <t>OE201009_Z</t>
  </si>
  <si>
    <t>3070*2615*2856</t>
  </si>
  <si>
    <t>SO256Z038</t>
  </si>
  <si>
    <t>SO 256 Z038</t>
  </si>
  <si>
    <t>OE200902_Z</t>
  </si>
  <si>
    <t>3750*2300*2700</t>
  </si>
  <si>
    <t>SO256Z042</t>
  </si>
  <si>
    <t>SO 256 Z042</t>
  </si>
  <si>
    <t>OE190313_Z</t>
  </si>
  <si>
    <t>3609*2324*2320</t>
  </si>
  <si>
    <t>SO256Z023</t>
  </si>
  <si>
    <t>SO 256 Z023 A</t>
  </si>
  <si>
    <t>OE160601_Z</t>
  </si>
  <si>
    <t>UL95</t>
  </si>
  <si>
    <t>OE140201_Z</t>
  </si>
  <si>
    <t>VL70</t>
  </si>
  <si>
    <t>3495*2194*2493</t>
  </si>
  <si>
    <t>SO256Z00801</t>
  </si>
  <si>
    <t>SO 256 Z008 A</t>
  </si>
  <si>
    <t>OE190811_Z</t>
  </si>
  <si>
    <t>3570*2450*2400</t>
  </si>
  <si>
    <t>SO256Z031</t>
  </si>
  <si>
    <t>SO 256 Z031</t>
  </si>
  <si>
    <t>OE140106_Z</t>
  </si>
  <si>
    <t>3595*2194*2561</t>
  </si>
  <si>
    <t>SO256Z00501</t>
  </si>
  <si>
    <t>OE140805_Z</t>
  </si>
  <si>
    <t>3110*2304*2142</t>
  </si>
  <si>
    <t>SO256Z01001</t>
  </si>
  <si>
    <t>SO 256 Z010 A</t>
  </si>
  <si>
    <t>OE190613_Z</t>
  </si>
  <si>
    <t>3817*2500*2620</t>
    <phoneticPr fontId="9" type="noConversion"/>
  </si>
  <si>
    <t>SO256Z027</t>
  </si>
  <si>
    <t>SO 256 Z027 A</t>
  </si>
  <si>
    <t>OE210314_Z</t>
  </si>
  <si>
    <t>XL90</t>
  </si>
  <si>
    <t>3606*2045*2525</t>
  </si>
  <si>
    <t>SO256Z049</t>
  </si>
  <si>
    <t>SO 256 Z049</t>
  </si>
  <si>
    <t>OE150202_Z</t>
  </si>
  <si>
    <t>3390*2074*2132</t>
  </si>
  <si>
    <t>SO256Z01201</t>
  </si>
  <si>
    <t>SO 256 Z012 A</t>
  </si>
  <si>
    <t>OE170510_Z</t>
  </si>
  <si>
    <t>LSA58</t>
  </si>
  <si>
    <t>LSA58</t>
    <phoneticPr fontId="9" type="noConversion"/>
  </si>
  <si>
    <t>BMAL110</t>
  </si>
  <si>
    <t>4300*2495*3500</t>
  </si>
  <si>
    <t>SO059Z001</t>
  </si>
  <si>
    <t>SO 059 Z001 B</t>
  </si>
  <si>
    <t>OE191208_Z</t>
  </si>
  <si>
    <t>4500*2900*3750</t>
  </si>
  <si>
    <t>SO059Z019</t>
  </si>
  <si>
    <t>SO 059 Z019</t>
  </si>
  <si>
    <t>OE190801_Z</t>
  </si>
  <si>
    <t>BMCL135</t>
  </si>
  <si>
    <t>4675*2700*3850</t>
  </si>
  <si>
    <t>SO059Z016</t>
  </si>
  <si>
    <t>SO 059 Z016</t>
  </si>
  <si>
    <t>OE170613_Z</t>
  </si>
  <si>
    <t>BMCL140</t>
  </si>
  <si>
    <t>4340*2290*2716</t>
  </si>
  <si>
    <t>SO059Z002</t>
  </si>
  <si>
    <t>SO 059 Z002 A</t>
  </si>
  <si>
    <t>OE210612_Z</t>
  </si>
  <si>
    <t>L</t>
  </si>
  <si>
    <t>3970*2945*3166</t>
  </si>
  <si>
    <t>SO059Z012</t>
  </si>
  <si>
    <t>SO 059 Z012 B</t>
  </si>
  <si>
    <t>OE190812_Z</t>
  </si>
  <si>
    <t>4010*2500*3200</t>
  </si>
  <si>
    <t>SO059Z018</t>
  </si>
  <si>
    <t>SO 059 Z018</t>
  </si>
  <si>
    <t>OE180106_Z</t>
  </si>
  <si>
    <t>4150*2764*3100</t>
  </si>
  <si>
    <t>SO059Z006</t>
  </si>
  <si>
    <t>SO 059 Z006 A</t>
  </si>
  <si>
    <t>OE180201T1_Z</t>
  </si>
  <si>
    <t>4350*2394*2630</t>
  </si>
  <si>
    <t>SO059Z004</t>
  </si>
  <si>
    <t>SO 059 Z004 A</t>
  </si>
  <si>
    <t>OE608996_Z</t>
  </si>
  <si>
    <t>XL110</t>
  </si>
  <si>
    <t>4410*2440*2670</t>
  </si>
  <si>
    <t>SO059Z003</t>
  </si>
  <si>
    <t>SO 059 Z003 A</t>
  </si>
  <si>
    <t>SR5</t>
    <phoneticPr fontId="9" type="noConversion"/>
  </si>
  <si>
    <t>1730*1279*1155</t>
    <phoneticPr fontId="9" type="noConversion"/>
  </si>
  <si>
    <t>4214870106_Z</t>
  </si>
  <si>
    <t>1630*1279*1155</t>
    <phoneticPr fontId="9" type="noConversion"/>
  </si>
  <si>
    <t>4214870101_Z</t>
  </si>
  <si>
    <t>1830*1279*1155</t>
    <phoneticPr fontId="9" type="noConversion"/>
  </si>
  <si>
    <t>4214870107_Z</t>
  </si>
  <si>
    <t>4214870102_Z</t>
  </si>
  <si>
    <t>4214870108_Z</t>
  </si>
  <si>
    <t>4214870103_Z</t>
  </si>
  <si>
    <t>1930*1279*1155</t>
    <phoneticPr fontId="9" type="noConversion"/>
  </si>
  <si>
    <t>4214870109_Z</t>
  </si>
  <si>
    <t>1930*1279*1274</t>
    <phoneticPr fontId="9" type="noConversion"/>
  </si>
  <si>
    <t>4214870104_Z</t>
  </si>
  <si>
    <t>2130*1279*1274</t>
    <phoneticPr fontId="9" type="noConversion"/>
  </si>
  <si>
    <t>4214870110_Z</t>
  </si>
  <si>
    <t>2030*1279*1274</t>
    <phoneticPr fontId="9" type="noConversion"/>
  </si>
  <si>
    <t>4214870105_Z</t>
  </si>
  <si>
    <t>2105*1299*1274</t>
    <phoneticPr fontId="9" type="noConversion"/>
  </si>
  <si>
    <t>4215740101_Z</t>
  </si>
  <si>
    <t>2055*1299*1274</t>
    <phoneticPr fontId="9" type="noConversion"/>
  </si>
  <si>
    <t>4214330101_Z</t>
  </si>
  <si>
    <t>2205*1299*1350</t>
    <phoneticPr fontId="9" type="noConversion"/>
  </si>
  <si>
    <t>4215740102_Z</t>
  </si>
  <si>
    <t>2155*1299*1274</t>
    <phoneticPr fontId="9" type="noConversion"/>
  </si>
  <si>
    <t>4214330102_Z</t>
  </si>
  <si>
    <t>2255*1299*1274</t>
  </si>
  <si>
    <t>4214330103_Z</t>
  </si>
  <si>
    <t>2190*1299*1274</t>
    <phoneticPr fontId="9" type="noConversion"/>
  </si>
  <si>
    <t>4215740103_Z</t>
  </si>
  <si>
    <t>2355*1299*1350</t>
    <phoneticPr fontId="9" type="noConversion"/>
  </si>
  <si>
    <t>4214330104_Z</t>
  </si>
  <si>
    <t>2290*1299*1274</t>
    <phoneticPr fontId="9" type="noConversion"/>
  </si>
  <si>
    <t>2405*1299*1274</t>
    <phoneticPr fontId="9" type="noConversion"/>
  </si>
  <si>
    <t>2528*1415*1348</t>
  </si>
  <si>
    <t>OE200914_Z</t>
    <phoneticPr fontId="9" type="noConversion"/>
  </si>
  <si>
    <t>SO053Z012_Z</t>
  </si>
  <si>
    <t>SO 053 Z012</t>
  </si>
  <si>
    <t>OE210418_Z</t>
    <phoneticPr fontId="9" type="noConversion"/>
  </si>
  <si>
    <t>2650*1345*1490</t>
  </si>
  <si>
    <t>SO018Z001_Z</t>
  </si>
  <si>
    <t>SO 018 Z001 A</t>
  </si>
  <si>
    <t>Y5043</t>
    <phoneticPr fontId="9" type="noConversion"/>
  </si>
  <si>
    <t>Y50</t>
    <phoneticPr fontId="9" type="noConversion"/>
  </si>
  <si>
    <t>H4_ALT_5/6_FW</t>
  </si>
  <si>
    <t>Y5047</t>
    <phoneticPr fontId="9" type="noConversion"/>
  </si>
  <si>
    <t>3060*1696*1688</t>
  </si>
  <si>
    <t>Y5060</t>
    <phoneticPr fontId="9" type="noConversion"/>
  </si>
  <si>
    <t>Y5064</t>
    <phoneticPr fontId="9" type="noConversion"/>
  </si>
  <si>
    <t>2104*1370*1472</t>
  </si>
  <si>
    <t>SO 501 Z008 B</t>
  </si>
  <si>
    <t>2404*1996*1892</t>
  </si>
  <si>
    <t>SO 501 Z016 A</t>
  </si>
  <si>
    <t>1844*1274*1592</t>
  </si>
  <si>
    <t>SO 501 Z014 A</t>
  </si>
  <si>
    <t>2044*1274*1592</t>
  </si>
  <si>
    <t>SO 501 Z018 A</t>
  </si>
  <si>
    <t>2804*1804*2012</t>
  </si>
  <si>
    <t>SO 501 Z006 A</t>
  </si>
  <si>
    <t>2179*1604*1652</t>
  </si>
  <si>
    <t>SO 501 Z010 B</t>
  </si>
  <si>
    <t>2104*1604*1652</t>
  </si>
  <si>
    <t>2359*1604*1652</t>
  </si>
  <si>
    <t>2160*1524*1767</t>
  </si>
  <si>
    <t>SO 051 Z020 A</t>
  </si>
  <si>
    <t>2308*1644*1772</t>
  </si>
  <si>
    <t>SO 051 Z014 B</t>
  </si>
  <si>
    <t>2204*1404*1790</t>
  </si>
  <si>
    <t>SO 051 Z007 D</t>
  </si>
  <si>
    <t>2104*1404*1790</t>
  </si>
  <si>
    <t>3084*2094*2452</t>
  </si>
  <si>
    <t>SO 051 Z022 A</t>
  </si>
  <si>
    <t>2704*1604*1922</t>
  </si>
  <si>
    <t>SO 051 Z004 B</t>
  </si>
  <si>
    <t>3434*2344*2180</t>
  </si>
  <si>
    <t>SO 051 Z018 A</t>
  </si>
  <si>
    <t>2608*1644*1772</t>
  </si>
  <si>
    <t>2980*1804*1982</t>
  </si>
  <si>
    <t>SO 053 Z004 A</t>
  </si>
  <si>
    <t>3444*1934*2342</t>
  </si>
  <si>
    <t>SO 053 Z002 B</t>
  </si>
  <si>
    <t>2900*1480*1912</t>
  </si>
  <si>
    <t>SO 531 Z003 D</t>
  </si>
  <si>
    <t>2800*1480*1912</t>
  </si>
  <si>
    <t>3200*1480*1912</t>
  </si>
  <si>
    <t>3100*1480*1912</t>
  </si>
  <si>
    <t>3184*1696*1902</t>
  </si>
  <si>
    <t>SO 532 Z002 A</t>
  </si>
  <si>
    <t>3000*1480*1933</t>
  </si>
  <si>
    <t>3414*2234*2467</t>
  </si>
  <si>
    <t>SO 055 Z006 A</t>
  </si>
  <si>
    <t xml:space="preserve">SO 531 Z003 </t>
  </si>
  <si>
    <t>2680*1704*2032</t>
  </si>
  <si>
    <t>SO 055 Z002 A</t>
  </si>
  <si>
    <t>SO 055 Z015 A</t>
  </si>
  <si>
    <t>3200*1480*1933</t>
  </si>
  <si>
    <t>OE121105_Z</t>
  </si>
  <si>
    <t>3300*1480*1933</t>
  </si>
  <si>
    <t>OE121107_Z</t>
  </si>
  <si>
    <t>OE121109_Z</t>
  </si>
  <si>
    <t>OE121112_Z</t>
  </si>
  <si>
    <t>OE121111_Z</t>
  </si>
  <si>
    <t>3300*2480*2550</t>
  </si>
  <si>
    <t>SO 055 Z016</t>
  </si>
  <si>
    <t>4125*2294*2400</t>
  </si>
  <si>
    <t>SO 256 Z003 A</t>
  </si>
  <si>
    <t>4005*2364*3192</t>
  </si>
  <si>
    <t>SO 256 Z014 A</t>
  </si>
  <si>
    <t>3625*2174*2572</t>
  </si>
  <si>
    <t>SO 256 Z022 A</t>
  </si>
  <si>
    <t>4299*2194*2802</t>
  </si>
  <si>
    <t>SO 256 Z007 B</t>
  </si>
  <si>
    <t>3855*2300*3250</t>
  </si>
  <si>
    <t>SO 256 Z043</t>
  </si>
  <si>
    <t>3707*2324*2522</t>
  </si>
  <si>
    <t>SO 256 Z024 A</t>
  </si>
  <si>
    <t>3599*2194*2692</t>
  </si>
  <si>
    <t>SO 256 Z009 A</t>
  </si>
  <si>
    <t>3699*2194*2752</t>
  </si>
  <si>
    <t>SO 256 Z006 B</t>
  </si>
  <si>
    <t>3214*2304*2342</t>
  </si>
  <si>
    <t>SO 256 Z011 A</t>
  </si>
  <si>
    <t>4675*2700*4077</t>
  </si>
  <si>
    <t>SO 059 Z017</t>
  </si>
  <si>
    <t>4450*2394*2832</t>
  </si>
  <si>
    <t>SO 059 Z005 A</t>
  </si>
  <si>
    <t>M1413L4</t>
  </si>
  <si>
    <t>LSA40</t>
    <phoneticPr fontId="9" type="noConversion"/>
  </si>
  <si>
    <t>M14</t>
  </si>
  <si>
    <t>1090*690*736</t>
  </si>
  <si>
    <t>M1434L4</t>
  </si>
  <si>
    <t>M1455L4</t>
  </si>
  <si>
    <t>FGL10020</t>
  </si>
  <si>
    <t>FGL10</t>
  </si>
  <si>
    <t>FGL10030</t>
  </si>
  <si>
    <t>FGL10040</t>
  </si>
  <si>
    <t>FGL10060</t>
  </si>
  <si>
    <t>LC1114M</t>
  </si>
  <si>
    <t>LC11</t>
  </si>
  <si>
    <t>LCB1114F</t>
  </si>
  <si>
    <t>LCB11</t>
  </si>
  <si>
    <t>LL1114M</t>
  </si>
  <si>
    <t>LL11</t>
  </si>
  <si>
    <t>M1415L4</t>
  </si>
  <si>
    <t>M1775L4</t>
  </si>
  <si>
    <t>LSA423</t>
    <phoneticPr fontId="9" type="noConversion"/>
  </si>
  <si>
    <t>M17</t>
  </si>
  <si>
    <t>1100*750*700</t>
  </si>
  <si>
    <t>FGL20030</t>
  </si>
  <si>
    <t>FGL20</t>
  </si>
  <si>
    <t>1100*850*700</t>
  </si>
  <si>
    <t>FGL20060</t>
  </si>
  <si>
    <t>FGL20080</t>
  </si>
  <si>
    <t>M1717L4</t>
  </si>
  <si>
    <t>M1736L4</t>
  </si>
  <si>
    <t>M1754L4</t>
  </si>
  <si>
    <t>M1756L4</t>
  </si>
  <si>
    <t>LSA44</t>
  </si>
  <si>
    <t>1136*686*903</t>
  </si>
  <si>
    <t>NULL</t>
  </si>
  <si>
    <t>FGL30020</t>
  </si>
  <si>
    <t>LSA443</t>
    <phoneticPr fontId="9" type="noConversion"/>
  </si>
  <si>
    <t>FGL30</t>
  </si>
  <si>
    <t>M2233L4</t>
  </si>
  <si>
    <t>M22</t>
  </si>
  <si>
    <t>M2235L4</t>
  </si>
  <si>
    <t>FGL30030</t>
  </si>
  <si>
    <t>1136*686*904</t>
  </si>
  <si>
    <t>FGL30040</t>
  </si>
  <si>
    <t xml:space="preserve">M2236L4 </t>
  </si>
  <si>
    <t>FGL30080</t>
  </si>
  <si>
    <t>1136*686*907</t>
  </si>
  <si>
    <t>FGL30100</t>
  </si>
  <si>
    <t>1136*686*908</t>
  </si>
  <si>
    <t>M2256L4</t>
  </si>
  <si>
    <t>FGL30110</t>
  </si>
  <si>
    <t>1136*686*909</t>
  </si>
  <si>
    <t>M2275L4</t>
  </si>
  <si>
    <t>LSA422</t>
  </si>
  <si>
    <t>LSA422</t>
    <phoneticPr fontId="9" type="noConversion"/>
  </si>
  <si>
    <t>1136*886*803</t>
  </si>
  <si>
    <t>LSA423</t>
  </si>
  <si>
    <t>LSA43</t>
  </si>
  <si>
    <t>LCB1114D</t>
  </si>
  <si>
    <t>1140*690*550</t>
  </si>
  <si>
    <t>1140*690*740</t>
  </si>
  <si>
    <t>LCB1114M</t>
  </si>
  <si>
    <t>LLB1114M</t>
  </si>
  <si>
    <t>LLB11</t>
  </si>
  <si>
    <t>FGL10031</t>
  </si>
  <si>
    <t>LB1114L</t>
  </si>
  <si>
    <t>LB11</t>
  </si>
  <si>
    <t>LC1114B</t>
  </si>
  <si>
    <t>LC1114D</t>
  </si>
  <si>
    <t>LC1114F</t>
  </si>
  <si>
    <t>LC1114H</t>
  </si>
  <si>
    <t>LC1114L</t>
  </si>
  <si>
    <t>LCB1114H</t>
  </si>
  <si>
    <t>LCB1114L</t>
  </si>
  <si>
    <t>LL1114B</t>
  </si>
  <si>
    <t>LL1114D</t>
  </si>
  <si>
    <t>LL1114F</t>
  </si>
  <si>
    <t>LL1114H</t>
  </si>
  <si>
    <t>LL1114N</t>
  </si>
  <si>
    <t>LL1124M</t>
  </si>
  <si>
    <t>LLB1114D</t>
  </si>
  <si>
    <t>LLB1114F</t>
  </si>
  <si>
    <t>LLB1114H</t>
  </si>
  <si>
    <t>LLB1114L</t>
  </si>
  <si>
    <t>LC3114J</t>
  </si>
  <si>
    <t>LSA442</t>
    <phoneticPr fontId="9" type="noConversion"/>
  </si>
  <si>
    <t>LC31</t>
  </si>
  <si>
    <t>1140*690*920</t>
  </si>
  <si>
    <t>LCB3114J</t>
  </si>
  <si>
    <t>LCB31</t>
  </si>
  <si>
    <t>LL3014</t>
  </si>
  <si>
    <t>LL30</t>
  </si>
  <si>
    <t>LL3114J</t>
  </si>
  <si>
    <t>LL31</t>
  </si>
  <si>
    <t>LLB3114J</t>
  </si>
  <si>
    <t>LLB31</t>
  </si>
  <si>
    <t>LC3114D</t>
  </si>
  <si>
    <t>LC3114F</t>
  </si>
  <si>
    <t>LC3114H</t>
  </si>
  <si>
    <t>LCB3114D</t>
  </si>
  <si>
    <t>LCB3114F</t>
  </si>
  <si>
    <t>LCB3114H</t>
  </si>
  <si>
    <t>LL3114D</t>
  </si>
  <si>
    <t>LL3114F</t>
  </si>
  <si>
    <t>LL3114H</t>
  </si>
  <si>
    <t>LLB3114D</t>
  </si>
  <si>
    <t>LLB3114F</t>
  </si>
  <si>
    <t>LLB3114H</t>
  </si>
  <si>
    <t>LL2014</t>
  </si>
  <si>
    <t>LSA432</t>
    <phoneticPr fontId="9" type="noConversion"/>
  </si>
  <si>
    <t>LL20</t>
  </si>
  <si>
    <t>1140*890*840</t>
  </si>
  <si>
    <t>LSA40</t>
  </si>
  <si>
    <t>1160*686*650</t>
  </si>
  <si>
    <t>1160*710*880</t>
  </si>
  <si>
    <t xml:space="preserve">M2235L4 </t>
  </si>
  <si>
    <t xml:space="preserve">M2238L4 </t>
  </si>
  <si>
    <t>M2254L4</t>
  </si>
  <si>
    <t xml:space="preserve">M2294L4 </t>
  </si>
  <si>
    <t>FGL30120</t>
  </si>
  <si>
    <t>1180*800*990</t>
  </si>
  <si>
    <t>FGL50070</t>
  </si>
  <si>
    <t>LSA463</t>
    <phoneticPr fontId="9" type="noConversion"/>
  </si>
  <si>
    <t>FGL50</t>
  </si>
  <si>
    <t>1200*800*921</t>
  </si>
  <si>
    <t>LC5114H</t>
  </si>
  <si>
    <t>LC51</t>
  </si>
  <si>
    <t>LC5114J</t>
  </si>
  <si>
    <t xml:space="preserve">M2736L4 </t>
  </si>
  <si>
    <t>M27</t>
  </si>
  <si>
    <t>1250*800*1015</t>
  </si>
  <si>
    <t>LC5014F</t>
  </si>
  <si>
    <t>LSA462</t>
    <phoneticPr fontId="9" type="noConversion"/>
  </si>
  <si>
    <t>LC50</t>
  </si>
  <si>
    <t>1250*800*1210</t>
  </si>
  <si>
    <t>LC5014H</t>
  </si>
  <si>
    <t>LC5014J</t>
  </si>
  <si>
    <t>LC5014L</t>
  </si>
  <si>
    <t>LC5114D</t>
  </si>
  <si>
    <t>LC5114F</t>
  </si>
  <si>
    <t>LL5014D</t>
  </si>
  <si>
    <t>LL50</t>
  </si>
  <si>
    <t>LL5014F</t>
  </si>
  <si>
    <t>LL5014H</t>
  </si>
  <si>
    <t>LL5014J</t>
  </si>
  <si>
    <t>LL5014L</t>
  </si>
  <si>
    <t>LL5114D</t>
  </si>
  <si>
    <t>LL51</t>
  </si>
  <si>
    <t>LL5114F</t>
  </si>
  <si>
    <t>LLC5014L</t>
  </si>
  <si>
    <t>LLC50</t>
  </si>
  <si>
    <t>LC5114L</t>
  </si>
  <si>
    <t>LL5114L</t>
  </si>
  <si>
    <t>LL5114N</t>
  </si>
  <si>
    <t>1250*800*921</t>
  </si>
  <si>
    <t>LL5114H</t>
  </si>
  <si>
    <t>1250*800*956</t>
  </si>
  <si>
    <t>LC5114N</t>
  </si>
  <si>
    <t>LL5114J</t>
  </si>
  <si>
    <t>M2754L4</t>
  </si>
  <si>
    <t>M2774L4</t>
  </si>
  <si>
    <t>1250*800*966</t>
  </si>
  <si>
    <t xml:space="preserve">M2754L4 </t>
  </si>
  <si>
    <t>1250*800*996</t>
  </si>
  <si>
    <t>LC6014B</t>
  </si>
  <si>
    <t>LSA472</t>
    <phoneticPr fontId="9" type="noConversion"/>
  </si>
  <si>
    <t>LC60</t>
  </si>
  <si>
    <t>1250*900*1310</t>
  </si>
  <si>
    <t>LC6114B</t>
  </si>
  <si>
    <t>LC61</t>
  </si>
  <si>
    <t>LC6114C</t>
  </si>
  <si>
    <t>LC6114D</t>
  </si>
  <si>
    <t>LC6114F</t>
  </si>
  <si>
    <t>LC6114G</t>
  </si>
  <si>
    <t>LC6114K</t>
  </si>
  <si>
    <t>LC6124</t>
  </si>
  <si>
    <t>LL6114B</t>
  </si>
  <si>
    <t>LL61</t>
  </si>
  <si>
    <t>LL6114C</t>
  </si>
  <si>
    <t>LL6114D</t>
  </si>
  <si>
    <t>LL6114F</t>
  </si>
  <si>
    <t>LL6114G</t>
  </si>
  <si>
    <t>LL6114K</t>
  </si>
  <si>
    <t>M3115L4</t>
  </si>
  <si>
    <t>M31</t>
  </si>
  <si>
    <t>M3134L4</t>
  </si>
  <si>
    <t>M3136L4</t>
  </si>
  <si>
    <t>M3154L4</t>
  </si>
  <si>
    <t>M3156L4</t>
  </si>
  <si>
    <t>M3175L4</t>
  </si>
  <si>
    <t>1270*920*1040</t>
  </si>
  <si>
    <t>LSA47</t>
  </si>
  <si>
    <t>1330*920*1140</t>
  </si>
  <si>
    <t>1334*820*1050</t>
  </si>
  <si>
    <t>LSA46</t>
  </si>
  <si>
    <t>LSA46</t>
    <phoneticPr fontId="9" type="noConversion"/>
  </si>
  <si>
    <t>FGL60010</t>
  </si>
  <si>
    <t>LSA473</t>
    <phoneticPr fontId="9" type="noConversion"/>
  </si>
  <si>
    <t>FGL60</t>
  </si>
  <si>
    <t>1380*900*1100</t>
  </si>
  <si>
    <t>FGL60020</t>
  </si>
  <si>
    <t>FGL60040</t>
  </si>
  <si>
    <t>FGL60050</t>
  </si>
  <si>
    <t>FGL60060</t>
  </si>
  <si>
    <t>1440*920*1200</t>
  </si>
  <si>
    <t>LC7024F</t>
  </si>
  <si>
    <t>LSA491</t>
    <phoneticPr fontId="9" type="noConversion"/>
  </si>
  <si>
    <t>LC70</t>
  </si>
  <si>
    <t>1600*1100*1350</t>
  </si>
  <si>
    <t>LC7024H</t>
  </si>
  <si>
    <t>LC7024J</t>
  </si>
  <si>
    <t>LC7024L</t>
  </si>
  <si>
    <t>LL7024F</t>
  </si>
  <si>
    <t>LL70</t>
  </si>
  <si>
    <t>LL7024H</t>
  </si>
  <si>
    <t>LL7024J</t>
  </si>
  <si>
    <t>Ll7024L</t>
  </si>
  <si>
    <t>Ll70</t>
  </si>
  <si>
    <t>Ll7024l</t>
  </si>
  <si>
    <t>LC7224H</t>
  </si>
  <si>
    <t>LSA493</t>
    <phoneticPr fontId="9" type="noConversion"/>
  </si>
  <si>
    <t>LC72</t>
  </si>
  <si>
    <t>LC7224J</t>
  </si>
  <si>
    <t>1680*1000*1278</t>
  </si>
  <si>
    <t>LSA49</t>
  </si>
  <si>
    <t>LSA49</t>
    <phoneticPr fontId="9" type="noConversion"/>
  </si>
  <si>
    <t>1684*1120*1350</t>
  </si>
  <si>
    <t>LSA491</t>
  </si>
  <si>
    <t>LSA493</t>
  </si>
  <si>
    <t>1700*1100*1240</t>
  </si>
  <si>
    <t>LC7224L</t>
  </si>
  <si>
    <t>LC7224N</t>
  </si>
  <si>
    <t>LL7224L</t>
  </si>
  <si>
    <t>LL72</t>
  </si>
  <si>
    <t>1700*1100*1340</t>
  </si>
  <si>
    <t>LC7224P</t>
  </si>
  <si>
    <t>1700*1100*1400</t>
  </si>
  <si>
    <t>LC7224H LEAN I6</t>
  </si>
  <si>
    <t>LC7224J LEAN I6</t>
  </si>
  <si>
    <t>LC7224L LEAN I6</t>
  </si>
  <si>
    <t>LC7224N LEAN I6</t>
  </si>
  <si>
    <t>LC7224P LEAN I6</t>
  </si>
  <si>
    <t xml:space="preserve">LL7224H </t>
  </si>
  <si>
    <t>LL7224H LEAN I6</t>
  </si>
  <si>
    <t>LL7224J</t>
  </si>
  <si>
    <t>LL7224J LEAN I6</t>
  </si>
  <si>
    <t>LL7224L LEAN I6</t>
  </si>
  <si>
    <t>LL7224N</t>
  </si>
  <si>
    <t>LL7224N LEAN I6</t>
  </si>
  <si>
    <t>LL7224P</t>
  </si>
  <si>
    <t>LL7224P LEAN I6</t>
  </si>
  <si>
    <t>SR4-597</t>
  </si>
  <si>
    <t>SR4</t>
    <phoneticPr fontId="9" type="noConversion"/>
  </si>
  <si>
    <t>SR4</t>
  </si>
  <si>
    <t>1780*915*1120</t>
  </si>
  <si>
    <t>SR4-598</t>
  </si>
  <si>
    <t>SR4-598 MAG</t>
    <phoneticPr fontId="9" type="noConversion"/>
  </si>
  <si>
    <t>1800*1100*1240</t>
  </si>
  <si>
    <t>FGL70030</t>
  </si>
  <si>
    <t>FGL70</t>
  </si>
  <si>
    <t>1800*1100*1280</t>
  </si>
  <si>
    <t>FGL70040</t>
  </si>
  <si>
    <t xml:space="preserve">FGL70050 </t>
  </si>
  <si>
    <t>LL8224P</t>
  </si>
  <si>
    <t>LSA502</t>
    <phoneticPr fontId="9" type="noConversion"/>
  </si>
  <si>
    <t>LL82</t>
  </si>
  <si>
    <t>1800*1100*1323</t>
  </si>
  <si>
    <t>LL8224P</t>
    <phoneticPr fontId="9" type="noConversion"/>
  </si>
  <si>
    <t>LL8224H</t>
  </si>
  <si>
    <t>1800*1100*1470</t>
  </si>
  <si>
    <t xml:space="preserve">LL8224L </t>
  </si>
  <si>
    <t>LL8224N</t>
  </si>
  <si>
    <t>FGL70020</t>
  </si>
  <si>
    <t>1850*1150*1280</t>
  </si>
  <si>
    <t>LSA50</t>
  </si>
  <si>
    <t>1904*1020*1570</t>
  </si>
  <si>
    <t>650*550*679</t>
  </si>
  <si>
    <t>850*595*763</t>
  </si>
  <si>
    <t>NULL</t>
    <phoneticPr fontId="9" type="noConversion"/>
  </si>
  <si>
    <t>870*550*720</t>
  </si>
  <si>
    <t>FGL20050</t>
  </si>
  <si>
    <t>FGL20070</t>
  </si>
  <si>
    <t>LC1514F</t>
  </si>
  <si>
    <t>LC15</t>
  </si>
  <si>
    <t>LC1514N</t>
  </si>
  <si>
    <t>LC1514P</t>
  </si>
  <si>
    <t>LCB1514J</t>
  </si>
  <si>
    <t>LCB15</t>
  </si>
  <si>
    <t>LCB1514P</t>
  </si>
  <si>
    <t>LL1514F</t>
  </si>
  <si>
    <t>LL15</t>
  </si>
  <si>
    <t>LL1514L</t>
  </si>
  <si>
    <t>LL1514N</t>
  </si>
  <si>
    <t>LL1514P</t>
  </si>
  <si>
    <t>LLB1514D</t>
  </si>
  <si>
    <t>LLB15</t>
  </si>
  <si>
    <t>LLB1514J</t>
  </si>
  <si>
    <t>LLB1514P</t>
  </si>
  <si>
    <t xml:space="preserve">M1736L4 </t>
  </si>
  <si>
    <r>
      <rPr>
        <sz val="11"/>
        <rFont val="宋体"/>
        <family val="3"/>
        <charset val="134"/>
      </rPr>
      <t>托盘</t>
    </r>
    <phoneticPr fontId="9" type="noConversion"/>
  </si>
  <si>
    <r>
      <rPr>
        <sz val="11"/>
        <rFont val="宋体"/>
        <family val="3"/>
        <charset val="134"/>
      </rPr>
      <t>木箱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</si>
  <si>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LL9224F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</si>
  <si>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LL9224H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</si>
  <si>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LL9224L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</si>
  <si>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LL9224P/R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</si>
  <si>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</si>
  <si>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</si>
  <si>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</si>
  <si>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</si>
  <si>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</si>
  <si>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</si>
  <si>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LSA51.2L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</si>
  <si>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</si>
  <si>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</si>
  <si>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</si>
  <si>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</si>
  <si>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</si>
  <si>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  <r>
      <rPr>
        <sz val="11"/>
        <color theme="1"/>
        <rFont val="Calibri"/>
        <family val="2"/>
      </rPr>
      <t xml:space="preserve"> SDMO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</si>
  <si>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</si>
  <si>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LSA51.2M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</si>
  <si>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</si>
  <si>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</si>
  <si>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</si>
  <si>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</si>
  <si>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</si>
  <si>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</si>
  <si>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LSA51.2S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</si>
  <si>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</si>
  <si>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</si>
  <si>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DB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</si>
  <si>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</si>
  <si>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</si>
  <si>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IP44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</si>
  <si>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LSA51.2VL SB IP44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</si>
  <si>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LSAM51.2L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</si>
  <si>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LSAM51.2M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</si>
  <si>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LSAM51.2S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</si>
  <si>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 LSAM51.2VL DB V=750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适用</t>
    </r>
    <r>
      <rPr>
        <sz val="11"/>
        <color theme="1"/>
        <rFont val="Calibri"/>
        <family val="2"/>
      </rPr>
      <t>IP44</t>
    </r>
    <r>
      <rPr>
        <sz val="11"/>
        <color theme="1"/>
        <rFont val="宋体"/>
        <family val="2"/>
      </rPr>
      <t>机型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</si>
  <si>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</si>
  <si>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</si>
  <si>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</si>
  <si>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</si>
  <si>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</si>
  <si>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</si>
  <si>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</si>
  <si>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S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</si>
  <si>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</si>
  <si>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DB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</si>
  <si>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DB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实木（免开顶柜）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</si>
  <si>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无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</si>
  <si>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LSA52.3 UL SB </t>
    </r>
    <r>
      <rPr>
        <sz val="11"/>
        <color theme="1"/>
        <rFont val="宋体"/>
        <family val="2"/>
      </rPr>
      <t>带</t>
    </r>
    <r>
      <rPr>
        <sz val="11"/>
        <color theme="1"/>
        <rFont val="Calibri"/>
        <family val="2"/>
      </rPr>
      <t xml:space="preserve">PMG </t>
    </r>
    <r>
      <rPr>
        <sz val="11"/>
        <color theme="1"/>
        <rFont val="宋体"/>
        <family val="2"/>
      </rPr>
      <t>实木（免开顶柜）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</si>
  <si>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1401/02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</si>
  <si>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1401/02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</si>
  <si>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1422/23/24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</si>
  <si>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1422/23/24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</si>
  <si>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1445/47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</si>
  <si>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1445/47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</si>
  <si>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1467/68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</si>
  <si>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1467/68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</si>
  <si>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1488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</si>
  <si>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1488 SB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</si>
  <si>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1602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</si>
  <si>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1602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</si>
  <si>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1622/25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</si>
  <si>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1622/25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</si>
  <si>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1645/46/47 SB </t>
    </r>
    <r>
      <rPr>
        <sz val="11"/>
        <color theme="1"/>
        <rFont val="宋体"/>
        <family val="2"/>
      </rPr>
      <t>实木</t>
    </r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</si>
  <si>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1645/47 DB </t>
    </r>
    <r>
      <rPr>
        <sz val="11"/>
        <color theme="1"/>
        <rFont val="宋体"/>
        <family val="2"/>
      </rPr>
      <t>实木</t>
    </r>
    <phoneticPr fontId="9" type="noConversion"/>
  </si>
  <si>
    <r>
      <rPr>
        <sz val="11"/>
        <color theme="1"/>
        <rFont val="宋体"/>
        <family val="2"/>
      </rPr>
      <t>托盘</t>
    </r>
    <r>
      <rPr>
        <sz val="11"/>
        <color theme="1"/>
        <rFont val="Calibri"/>
        <family val="2"/>
      </rPr>
      <t xml:space="preserve">SR5 1667/68/69 SB </t>
    </r>
    <r>
      <rPr>
        <sz val="11"/>
        <color theme="1"/>
        <rFont val="宋体"/>
        <family val="2"/>
      </rPr>
      <t>实木</t>
    </r>
    <phoneticPr fontId="9" type="noConversion"/>
  </si>
  <si>
    <t>长度</t>
    <phoneticPr fontId="5" type="noConversion"/>
  </si>
  <si>
    <t>宽度</t>
    <phoneticPr fontId="5" type="noConversion"/>
  </si>
  <si>
    <t>高度</t>
    <phoneticPr fontId="5" type="noConversion"/>
  </si>
  <si>
    <t>9.6m</t>
    <phoneticPr fontId="5" type="noConversion"/>
  </si>
  <si>
    <t>ShaftType</t>
    <phoneticPr fontId="5" type="noConversion"/>
  </si>
  <si>
    <t>包装重量</t>
    <phoneticPr fontId="5" type="noConversion"/>
  </si>
  <si>
    <t>20GP</t>
    <phoneticPr fontId="5" type="noConversion"/>
  </si>
  <si>
    <t>20HC</t>
    <phoneticPr fontId="5" type="noConversion"/>
  </si>
  <si>
    <t>20OT</t>
    <phoneticPr fontId="5" type="noConversion"/>
  </si>
  <si>
    <t>40GP</t>
    <phoneticPr fontId="5" type="noConversion"/>
  </si>
  <si>
    <t>40OT</t>
    <phoneticPr fontId="5" type="noConversion"/>
  </si>
  <si>
    <t>40HC</t>
    <phoneticPr fontId="5" type="noConversion"/>
  </si>
  <si>
    <t>20FR</t>
    <phoneticPr fontId="5" type="noConversion"/>
  </si>
  <si>
    <t>45HC</t>
    <phoneticPr fontId="5" type="noConversion"/>
  </si>
  <si>
    <t>BB</t>
    <phoneticPr fontId="5" type="noConversion"/>
  </si>
  <si>
    <t>RORO</t>
    <phoneticPr fontId="5" type="noConversion"/>
  </si>
  <si>
    <t>大类</t>
    <phoneticPr fontId="5" type="noConversion"/>
  </si>
  <si>
    <t>小类</t>
    <phoneticPr fontId="5" type="noConversion"/>
  </si>
  <si>
    <t>超39t、超长&gt;12m、超宽&gt;2.3m、超高货物&gt;2.35m,卡车直接提货，船上固定</t>
    <phoneticPr fontId="5" type="noConversion"/>
  </si>
  <si>
    <t>没仓位时的一个选项，卡车直接提货，船上固定</t>
    <phoneticPr fontId="5" type="noConversion"/>
  </si>
  <si>
    <t>ConTarewt</t>
    <phoneticPr fontId="5" type="noConversion"/>
  </si>
  <si>
    <t>ConNote</t>
    <phoneticPr fontId="5" type="noConversion"/>
  </si>
  <si>
    <t>Tralength</t>
    <phoneticPr fontId="5" type="noConversion"/>
  </si>
  <si>
    <t>TraWidth</t>
    <phoneticPr fontId="5" type="noConversion"/>
  </si>
  <si>
    <t>TraHeight</t>
    <phoneticPr fontId="5" type="noConversion"/>
  </si>
  <si>
    <t>TraMaxwt</t>
    <phoneticPr fontId="5" type="noConversion"/>
  </si>
  <si>
    <t>TraMaxVol</t>
    <phoneticPr fontId="5" type="noConversion"/>
  </si>
  <si>
    <t>正文号</t>
    <phoneticPr fontId="5" type="noConversion"/>
  </si>
  <si>
    <t>出仓单号</t>
    <phoneticPr fontId="5" type="noConversion"/>
  </si>
  <si>
    <t>包装号</t>
    <phoneticPr fontId="5" type="noConversion"/>
  </si>
  <si>
    <t>FrameType</t>
    <phoneticPr fontId="5" type="noConversion"/>
  </si>
  <si>
    <t>客户</t>
    <phoneticPr fontId="5" type="noConversion"/>
  </si>
  <si>
    <t>集装箱</t>
    <phoneticPr fontId="5" type="noConversion"/>
  </si>
  <si>
    <t>卡车</t>
    <phoneticPr fontId="5" type="noConversion"/>
  </si>
  <si>
    <t>Doorheight</t>
    <phoneticPr fontId="5" type="noConversion"/>
  </si>
  <si>
    <t>内尺寸, 单位cm/m^3/t，皮重选COSCO 数据</t>
    <phoneticPr fontId="5" type="noConversion"/>
  </si>
  <si>
    <t>17.5m-29t</t>
    <phoneticPr fontId="5" type="noConversion"/>
  </si>
  <si>
    <t>17.5m-35t</t>
    <phoneticPr fontId="5" type="noConversion"/>
  </si>
  <si>
    <t>13m-25t</t>
    <phoneticPr fontId="5" type="noConversion"/>
  </si>
  <si>
    <t>13m-28t</t>
    <phoneticPr fontId="5" type="noConversion"/>
  </si>
  <si>
    <t>运输距离小于500公里</t>
    <phoneticPr fontId="5" type="noConversion"/>
  </si>
  <si>
    <t>超过1000公里</t>
    <phoneticPr fontId="5" type="noConversion"/>
  </si>
  <si>
    <t>大件车</t>
    <phoneticPr fontId="5" type="noConversion"/>
  </si>
  <si>
    <t>四轴以上车辆，超重、超长、超宽、超高等货物运输</t>
    <phoneticPr fontId="5" type="noConversion"/>
  </si>
  <si>
    <r>
      <rPr>
        <sz val="11"/>
        <color theme="1"/>
        <rFont val="宋体"/>
        <family val="2"/>
      </rPr>
      <t>木笼箱</t>
    </r>
    <phoneticPr fontId="9" type="noConversion"/>
  </si>
  <si>
    <r>
      <rPr>
        <sz val="11"/>
        <color theme="1"/>
        <rFont val="宋体"/>
        <family val="2"/>
      </rPr>
      <t>木箱</t>
    </r>
    <phoneticPr fontId="9" type="noConversion"/>
  </si>
  <si>
    <r>
      <rPr>
        <sz val="11"/>
        <color theme="1"/>
        <rFont val="宋体"/>
        <family val="2"/>
      </rPr>
      <t>纸箱</t>
    </r>
    <phoneticPr fontId="9" type="noConversion"/>
  </si>
  <si>
    <r>
      <rPr>
        <sz val="11"/>
        <color theme="1"/>
        <rFont val="宋体"/>
        <family val="2"/>
      </rPr>
      <t>托盘</t>
    </r>
    <phoneticPr fontId="9" type="noConversion"/>
  </si>
  <si>
    <t>净重</t>
    <phoneticPr fontId="5" type="noConversion"/>
  </si>
  <si>
    <t>Width</t>
    <phoneticPr fontId="5" type="noConversion"/>
  </si>
  <si>
    <t>包装类型</t>
    <phoneticPr fontId="5" type="noConversion"/>
  </si>
  <si>
    <t>体积</t>
    <phoneticPr fontId="5" type="noConversion"/>
  </si>
  <si>
    <t>毛重</t>
    <phoneticPr fontId="5" type="noConversion"/>
  </si>
  <si>
    <t>Paclen</t>
    <phoneticPr fontId="9" type="noConversion"/>
  </si>
  <si>
    <t>PacHei</t>
    <phoneticPr fontId="9" type="noConversion"/>
  </si>
  <si>
    <t>Pacwid</t>
    <phoneticPr fontId="9" type="noConversion"/>
  </si>
  <si>
    <t>Type</t>
    <phoneticPr fontId="5" type="noConversion"/>
  </si>
  <si>
    <t>FamilyItemNumber</t>
    <phoneticPr fontId="5" type="noConversion"/>
  </si>
  <si>
    <t>PPerPackage</t>
    <phoneticPr fontId="5" type="noConversion"/>
  </si>
  <si>
    <t>PPartNo</t>
    <phoneticPr fontId="5" type="noConversion"/>
  </si>
  <si>
    <t>PDrawingNo</t>
    <phoneticPr fontId="5" type="noConversion"/>
  </si>
  <si>
    <t>M1756L4</t>
    <phoneticPr fontId="5" type="noConversion"/>
  </si>
  <si>
    <t>LC1514L</t>
    <phoneticPr fontId="5" type="noConversion"/>
  </si>
  <si>
    <t>M1775L4</t>
    <phoneticPr fontId="5" type="noConversion"/>
  </si>
  <si>
    <t>PPackingVolume</t>
    <phoneticPr fontId="5" type="noConversion"/>
  </si>
  <si>
    <t>发货数量</t>
    <phoneticPr fontId="5" type="noConversion"/>
  </si>
  <si>
    <t>Contype</t>
    <phoneticPr fontId="5" type="noConversion"/>
  </si>
  <si>
    <t>Trantype</t>
    <phoneticPr fontId="5" type="noConversion"/>
  </si>
  <si>
    <t>No</t>
    <phoneticPr fontId="9" type="noConversion"/>
  </si>
  <si>
    <t>ShaftHeight</t>
    <phoneticPr fontId="5" type="noConversion"/>
  </si>
  <si>
    <r>
      <rPr>
        <sz val="10"/>
        <color theme="1"/>
        <rFont val="宋体"/>
        <family val="2"/>
        <charset val="134"/>
      </rPr>
      <t>运输距离在</t>
    </r>
    <r>
      <rPr>
        <sz val="10"/>
        <color theme="1"/>
        <rFont val="Arial"/>
        <family val="2"/>
      </rPr>
      <t>500-1000</t>
    </r>
    <r>
      <rPr>
        <sz val="10"/>
        <color theme="1"/>
        <rFont val="宋体"/>
        <family val="2"/>
        <charset val="134"/>
      </rPr>
      <t>公里</t>
    </r>
    <phoneticPr fontId="5" type="noConversion"/>
  </si>
  <si>
    <t>ShipNo</t>
    <phoneticPr fontId="5" type="noConversion"/>
  </si>
  <si>
    <t>ShipType</t>
    <phoneticPr fontId="5" type="noConversion"/>
  </si>
  <si>
    <t>ShiplistID</t>
    <phoneticPr fontId="5" type="noConversion"/>
  </si>
  <si>
    <t>CO</t>
    <phoneticPr fontId="5" type="noConversion"/>
  </si>
  <si>
    <t>ItemNumber</t>
    <phoneticPr fontId="5" type="noConversion"/>
  </si>
  <si>
    <t>ShipQty</t>
    <phoneticPr fontId="5" type="noConversion"/>
  </si>
  <si>
    <t>Packing</t>
    <phoneticPr fontId="5" type="noConversion"/>
  </si>
  <si>
    <t>CarNo</t>
    <phoneticPr fontId="5" type="noConversion"/>
  </si>
  <si>
    <t>BoxType</t>
    <phoneticPr fontId="5" type="noConversion"/>
  </si>
  <si>
    <t>BoxSouce</t>
    <phoneticPr fontId="5" type="noConversion"/>
  </si>
  <si>
    <t>BoxKey</t>
    <phoneticPr fontId="5" type="noConversion"/>
  </si>
  <si>
    <t>Pno</t>
    <phoneticPr fontId="5" type="noConversion"/>
  </si>
  <si>
    <t>Pqty</t>
    <phoneticPr fontId="5" type="noConversion"/>
  </si>
  <si>
    <t>Psize</t>
    <phoneticPr fontId="5" type="noConversion"/>
  </si>
  <si>
    <t>Pvolume</t>
    <phoneticPr fontId="5" type="noConversion"/>
  </si>
  <si>
    <t>Pweight</t>
    <phoneticPr fontId="5" type="noConversion"/>
  </si>
  <si>
    <t>Pper</t>
    <phoneticPr fontId="5" type="noConversion"/>
  </si>
  <si>
    <t>Bsize</t>
    <phoneticPr fontId="5" type="noConversion"/>
  </si>
  <si>
    <t>Bvolume</t>
    <phoneticPr fontId="5" type="noConversion"/>
  </si>
  <si>
    <t>PRO</t>
    <phoneticPr fontId="5" type="noConversion"/>
  </si>
  <si>
    <t>C20210818-01PSB005758863</t>
    <phoneticPr fontId="5" type="noConversion"/>
  </si>
  <si>
    <t>C20210818-01PSB012758870</t>
    <phoneticPr fontId="5" type="noConversion"/>
  </si>
  <si>
    <t>M</t>
    <phoneticPr fontId="5" type="noConversion"/>
  </si>
  <si>
    <t>LSA</t>
    <phoneticPr fontId="5" type="noConversion"/>
  </si>
  <si>
    <t>BNO</t>
    <phoneticPr fontId="5" type="noConversion"/>
  </si>
  <si>
    <t>BQty</t>
    <phoneticPr fontId="5" type="noConversion"/>
  </si>
  <si>
    <t>A40***CY_Z</t>
    <phoneticPr fontId="5" type="noConversion"/>
  </si>
  <si>
    <t>发运类型</t>
    <phoneticPr fontId="5" type="noConversion"/>
  </si>
  <si>
    <t>A44***CY_Z</t>
    <phoneticPr fontId="5" type="noConversion"/>
  </si>
  <si>
    <t>A50***CY_Z</t>
    <phoneticPr fontId="5" type="noConversion"/>
  </si>
  <si>
    <t>A47***CY_Z</t>
    <phoneticPr fontId="5" type="noConversion"/>
  </si>
  <si>
    <t>Usedcondition</t>
    <phoneticPr fontId="5" type="noConversion"/>
  </si>
  <si>
    <t>重量超过25吨，高度超过2.6</t>
    <phoneticPr fontId="5" type="noConversion"/>
  </si>
  <si>
    <t>根据重量、宽度、体积确定车型</t>
    <phoneticPr fontId="5" type="noConversion"/>
  </si>
  <si>
    <t>单个重量&lt;=10t、宽度&lt;=2.0m, 总重量&lt;18t, 总体积&lt;34*0.8</t>
    <phoneticPr fontId="5" type="noConversion"/>
  </si>
  <si>
    <t>单件重量&gt;10t、宽度&lt;=2.0m,总重量&lt;20t, 总体积&lt;33*0.8</t>
    <phoneticPr fontId="5" type="noConversion"/>
  </si>
  <si>
    <t>单件重量&lt;10t、宽度&lt;=2.0m,高度大于2.28 且&lt;2.58m</t>
    <phoneticPr fontId="5" type="noConversion"/>
  </si>
  <si>
    <t>单件重量&gt;10t、宽度大于2.2m</t>
    <phoneticPr fontId="5" type="noConversion"/>
  </si>
  <si>
    <t>单个重量&lt;=10t、宽度&lt;=2.0m,高度&lt;=2.1m 总重量26t, 总体积&lt;68*0.8</t>
    <phoneticPr fontId="5" type="noConversion"/>
  </si>
  <si>
    <t>单个重量&lt;=10t、宽度&lt;=2.0m,高度=2.35m 总重量26t, 总体积&lt;68*0.8</t>
    <phoneticPr fontId="5" type="noConversion"/>
  </si>
  <si>
    <t>单个重量&lt;=10t、宽度&lt;=2.0m,高度&gt;2.35m且高度&lt;2.45m 总重量26t, 总体积&lt;68*0.8</t>
    <phoneticPr fontId="5" type="noConversion"/>
  </si>
  <si>
    <t>单件重量&gt;10t且小于36t 或宽度大于2.2m</t>
    <phoneticPr fontId="5" type="noConversion"/>
  </si>
  <si>
    <t>单件长度超过11.9m且小于13.5m</t>
    <phoneticPr fontId="5" type="noConversion"/>
  </si>
  <si>
    <t>超39t、超长&gt;12m、超宽&gt;3m、超高货物&gt;2.35m</t>
    <phoneticPr fontId="5" type="noConversion"/>
  </si>
  <si>
    <t>40FR</t>
    <phoneticPr fontId="5" type="noConversion"/>
  </si>
  <si>
    <t>运输类型</t>
    <phoneticPr fontId="5" type="noConversion"/>
  </si>
  <si>
    <t xml:space="preserve">车型/箱型 </t>
    <phoneticPr fontId="5" type="noConversion"/>
  </si>
  <si>
    <t>承重</t>
    <phoneticPr fontId="5" type="noConversion"/>
  </si>
  <si>
    <t>最大体积</t>
    <phoneticPr fontId="5" type="noConversion"/>
  </si>
  <si>
    <t>门高</t>
    <phoneticPr fontId="5" type="noConversion"/>
  </si>
  <si>
    <t>皮重</t>
    <phoneticPr fontId="5" type="noConversion"/>
  </si>
  <si>
    <t>备注</t>
    <phoneticPr fontId="5" type="noConversion"/>
  </si>
  <si>
    <t>使用条件</t>
    <phoneticPr fontId="9" type="noConversion"/>
  </si>
  <si>
    <t>柜子类型</t>
    <phoneticPr fontId="9" type="noConversion"/>
  </si>
  <si>
    <t>长度</t>
    <phoneticPr fontId="9" type="noConversion"/>
  </si>
  <si>
    <t>宽度</t>
    <phoneticPr fontId="9" type="noConversion"/>
  </si>
  <si>
    <t>高度</t>
    <phoneticPr fontId="9" type="noConversion"/>
  </si>
  <si>
    <t>总长</t>
    <phoneticPr fontId="9" type="noConversion"/>
  </si>
  <si>
    <t>重量</t>
    <phoneticPr fontId="9" type="noConversion"/>
  </si>
  <si>
    <t>总重量</t>
    <phoneticPr fontId="9" type="noConversion"/>
  </si>
  <si>
    <t>体积</t>
    <phoneticPr fontId="9" type="noConversion"/>
  </si>
  <si>
    <t>有效体积</t>
    <phoneticPr fontId="9" type="noConversion"/>
  </si>
  <si>
    <t>箱型</t>
    <phoneticPr fontId="9" type="noConversion"/>
  </si>
  <si>
    <t>应用条件</t>
    <phoneticPr fontId="9" type="noConversion"/>
  </si>
  <si>
    <t>备注</t>
    <phoneticPr fontId="9" type="noConversion"/>
  </si>
  <si>
    <t>宽度超过2.2, 高度超过2.35m，长度超过2.2，总长度小于6m</t>
    <phoneticPr fontId="9" type="noConversion"/>
  </si>
  <si>
    <t>20FR</t>
    <phoneticPr fontId="9" type="noConversion"/>
  </si>
  <si>
    <t>&lt;6m</t>
    <phoneticPr fontId="9" type="noConversion"/>
  </si>
  <si>
    <t>&gt;2.2</t>
    <phoneticPr fontId="9" type="noConversion"/>
  </si>
  <si>
    <t>&gt;2.35</t>
    <phoneticPr fontId="9" type="noConversion"/>
  </si>
  <si>
    <t>重量必须小于22t,其余满足任一条件</t>
    <phoneticPr fontId="9" type="noConversion"/>
  </si>
  <si>
    <t>需咨询货代是否可走框架超高或走BB</t>
    <phoneticPr fontId="9" type="noConversion"/>
  </si>
  <si>
    <t>宽度超过2.2, 高度超过2.35m 重量超过 26t, 总长度大于6m且小于12m</t>
    <phoneticPr fontId="9" type="noConversion"/>
  </si>
  <si>
    <t>40FR</t>
    <phoneticPr fontId="9" type="noConversion"/>
  </si>
  <si>
    <t>&gt;6</t>
    <phoneticPr fontId="9" type="noConversion"/>
  </si>
  <si>
    <t>&gt;22且&lt;39t</t>
    <phoneticPr fontId="9" type="noConversion"/>
  </si>
  <si>
    <t>重量超过10吨，宽度小于2.2，总重量小于18t,</t>
    <phoneticPr fontId="9" type="noConversion"/>
  </si>
  <si>
    <t>20OT</t>
    <phoneticPr fontId="9" type="noConversion"/>
  </si>
  <si>
    <t>&lt;=2.2</t>
    <phoneticPr fontId="9" type="noConversion"/>
  </si>
  <si>
    <t>&lt;=2.35</t>
    <phoneticPr fontId="9" type="noConversion"/>
  </si>
  <si>
    <t>&lt;6</t>
    <phoneticPr fontId="9" type="noConversion"/>
  </si>
  <si>
    <t>&gt;10</t>
    <phoneticPr fontId="9" type="noConversion"/>
  </si>
  <si>
    <t>主要解决超重，不超高</t>
    <phoneticPr fontId="9" type="noConversion"/>
  </si>
  <si>
    <t>重量超过10吨，宽度小于2.2，总重量小于26t, 总 长度小于12m</t>
    <phoneticPr fontId="9" type="noConversion"/>
  </si>
  <si>
    <t>40OT</t>
    <phoneticPr fontId="9" type="noConversion"/>
  </si>
  <si>
    <t>解决超重，不超高</t>
    <phoneticPr fontId="9" type="noConversion"/>
  </si>
  <si>
    <t>总重量小于17.5吨，宽度 小于2.2, 高度小于2.25m 总长度小于6m</t>
    <phoneticPr fontId="9" type="noConversion"/>
  </si>
  <si>
    <t>20GP</t>
    <phoneticPr fontId="9" type="noConversion"/>
  </si>
  <si>
    <t>&lt;10</t>
    <phoneticPr fontId="9" type="noConversion"/>
  </si>
  <si>
    <t>小于10吨主要装载方式</t>
    <phoneticPr fontId="9" type="noConversion"/>
  </si>
  <si>
    <t>总重量小于26吨，宽度 小于2.2, 高度小于2.25m 总长度小于12m</t>
    <phoneticPr fontId="9" type="noConversion"/>
  </si>
  <si>
    <t>40GP</t>
    <phoneticPr fontId="9" type="noConversion"/>
  </si>
  <si>
    <t>总重量小于26吨，宽度 小于2.2, 高度大于2.25m 且小于2.50m</t>
    <phoneticPr fontId="9" type="noConversion"/>
  </si>
  <si>
    <t>40HC</t>
    <phoneticPr fontId="9" type="noConversion"/>
  </si>
  <si>
    <t>&lt;2.48</t>
    <phoneticPr fontId="9" type="noConversion"/>
  </si>
  <si>
    <t>主要用于装载超高不超重的货</t>
    <phoneticPr fontId="9" type="noConversion"/>
  </si>
  <si>
    <t>价格比普柜贵，一般装抛货多，LS使用不多，不考虑</t>
    <phoneticPr fontId="9" type="noConversion"/>
  </si>
  <si>
    <t>总重量小于17.5吨，宽度 小于2.2, 高度大于2.25m 且小于2.50m</t>
    <phoneticPr fontId="9" type="noConversion"/>
  </si>
  <si>
    <t>20HC</t>
    <phoneticPr fontId="9" type="noConversion"/>
  </si>
  <si>
    <t>市面柜子资源少，不考虑</t>
    <phoneticPr fontId="9" type="noConversion"/>
  </si>
  <si>
    <t>先赋予FR,GP,OT 再根据总体积，总重量来确定20尺或者40尺</t>
    <phoneticPr fontId="9" type="noConversion"/>
  </si>
  <si>
    <t>默认长度&gt;宽度</t>
    <phoneticPr fontId="9" type="noConversion"/>
  </si>
  <si>
    <t>大部分装载率在50%~80%之间, 估算时一般取65%</t>
    <phoneticPr fontId="9" type="noConversion"/>
  </si>
  <si>
    <t>集装箱序号</t>
    <phoneticPr fontId="5" type="noConversion"/>
  </si>
  <si>
    <t>Deliveryno</t>
    <phoneticPr fontId="5" type="noConversion"/>
  </si>
  <si>
    <t>Mainno</t>
    <phoneticPr fontId="5" type="noConversion"/>
  </si>
  <si>
    <t>Packno</t>
    <phoneticPr fontId="5" type="noConversion"/>
  </si>
  <si>
    <t>FamilyItemNo</t>
    <phoneticPr fontId="5" type="noConversion"/>
  </si>
  <si>
    <t>PPackingWeight</t>
    <phoneticPr fontId="5" type="noConversion"/>
  </si>
  <si>
    <t>Packingtype</t>
    <phoneticPr fontId="5" type="noConversion"/>
  </si>
  <si>
    <t>PacLength</t>
    <phoneticPr fontId="5" type="noConversion"/>
  </si>
  <si>
    <t>PackWid</t>
    <phoneticPr fontId="5" type="noConversion"/>
  </si>
  <si>
    <t>PacHei</t>
    <phoneticPr fontId="5" type="noConversion"/>
  </si>
  <si>
    <t>PacVol</t>
    <phoneticPr fontId="5" type="noConversion"/>
  </si>
  <si>
    <t>PacGW</t>
    <phoneticPr fontId="5" type="noConversion"/>
  </si>
  <si>
    <t>PacNW</t>
    <phoneticPr fontId="5" type="noConversion"/>
  </si>
  <si>
    <t>Customer</t>
    <phoneticPr fontId="5" type="noConversion"/>
  </si>
  <si>
    <t>DelAmount</t>
    <phoneticPr fontId="5" type="noConversion"/>
  </si>
  <si>
    <t>ConNo</t>
    <phoneticPr fontId="5" type="noConversion"/>
  </si>
  <si>
    <t>1100*850*700</t>
    <phoneticPr fontId="5" type="noConversion"/>
  </si>
  <si>
    <t>A46***CY_Z</t>
    <phoneticPr fontId="5" type="noConversion"/>
  </si>
  <si>
    <t>A49***CY_Z</t>
    <phoneticPr fontId="5" type="noConversion"/>
  </si>
  <si>
    <t>1800*1100*1280</t>
    <phoneticPr fontId="5" type="noConversion"/>
  </si>
  <si>
    <t>1800*1100*1470</t>
    <phoneticPr fontId="5" type="noConversion"/>
  </si>
  <si>
    <t>H2021435</t>
    <phoneticPr fontId="5" type="noConversion"/>
  </si>
  <si>
    <t>装箱数量</t>
    <phoneticPr fontId="5" type="noConversion"/>
  </si>
  <si>
    <t>序号</t>
    <phoneticPr fontId="5" type="noConversion"/>
  </si>
  <si>
    <t>临时数据</t>
    <phoneticPr fontId="5" type="noConversion"/>
  </si>
  <si>
    <t>TempData</t>
    <phoneticPr fontId="5" type="noConversion"/>
  </si>
  <si>
    <t>Loading Simulation Program</t>
    <phoneticPr fontId="5" type="noConversion"/>
  </si>
  <si>
    <t>装载模拟程序</t>
    <phoneticPr fontId="5" type="noConversion"/>
  </si>
  <si>
    <t>发电机装载图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</si>
</sst>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28" x14ac:knownFonts="1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8"/>
      <name val="Arial"/>
      <family val="2"/>
    </font>
    <font>
      <sz val="20"/>
      <name val="Arial"/>
      <family val="2"/>
    </font>
    <font>
      <sz val="9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</font>
    <font>
      <sz val="11"/>
      <name val="宋体"/>
      <family val="3"/>
      <charset val="134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1"/>
      <color rgb="FF00B0F0"/>
      <name val="Calibri"/>
      <family val="2"/>
    </font>
    <font>
      <sz val="10"/>
      <color theme="1"/>
      <name val="Arial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2"/>
      <charset val="134"/>
    </font>
    <font>
      <sz val="9"/>
      <name val="微软雅黑"/>
      <family val="2"/>
      <charset val="134"/>
    </font>
    <font>
      <sz val="9"/>
      <color rgb="FF000000"/>
      <name val="Arial"/>
      <family val="2"/>
    </font>
    <font>
      <sz val="16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000000"/>
      <name val="Arial"/>
      <family val="2"/>
    </font>
    <font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9E7B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CCFF66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7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</cellStyleXfs>
  <cellXfs count="61">
    <xf numFmtId="0" fontId="0" fillId="0" borderId="0" xfId="0"/>
    <xf numFmtId="0" fontId="6" fillId="0" borderId="0" xfId="0" applyFont="1"/>
    <xf numFmtId="176" fontId="6" fillId="0" borderId="0" xfId="0" applyNumberFormat="1" applyFont="1"/>
    <xf numFmtId="0" fontId="12" fillId="2" borderId="0" xfId="5" applyFont="1" applyFill="1" applyAlignment="1">
      <alignment horizontal="left" vertical="center"/>
    </xf>
    <xf numFmtId="0" fontId="13" fillId="2" borderId="0" xfId="5" applyFont="1" applyFill="1" applyAlignment="1">
      <alignment horizontal="left" vertical="center"/>
    </xf>
    <xf numFmtId="0" fontId="13" fillId="3" borderId="0" xfId="5" applyFont="1" applyFill="1" applyAlignment="1">
      <alignment horizontal="left" vertical="center"/>
    </xf>
    <xf numFmtId="0" fontId="12" fillId="4" borderId="0" xfId="5" applyFont="1" applyFill="1" applyAlignment="1">
      <alignment horizontal="left" vertical="center"/>
    </xf>
    <xf numFmtId="0" fontId="14" fillId="2" borderId="0" xfId="5" applyFont="1" applyFill="1" applyAlignment="1">
      <alignment horizontal="left" vertical="center"/>
    </xf>
    <xf numFmtId="0" fontId="15" fillId="4" borderId="0" xfId="5" applyFont="1" applyFill="1" applyAlignment="1">
      <alignment horizontal="left" vertical="center"/>
    </xf>
    <xf numFmtId="49" fontId="15" fillId="5" borderId="0" xfId="5" applyNumberFormat="1" applyFont="1" applyFill="1"/>
    <xf numFmtId="0" fontId="14" fillId="0" borderId="0" xfId="5" applyFont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4" fillId="0" borderId="0" xfId="5" applyFont="1" applyAlignment="1">
      <alignment horizontal="left" vertical="center"/>
    </xf>
    <xf numFmtId="0" fontId="15" fillId="0" borderId="0" xfId="5" applyFont="1"/>
    <xf numFmtId="0" fontId="7" fillId="0" borderId="0" xfId="0" applyFont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7" borderId="2" xfId="5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0" fillId="9" borderId="0" xfId="0" applyFill="1"/>
    <xf numFmtId="0" fontId="8" fillId="11" borderId="0" xfId="0" applyFont="1" applyFill="1"/>
    <xf numFmtId="0" fontId="20" fillId="8" borderId="3" xfId="0" applyFont="1" applyFill="1" applyBorder="1" applyAlignment="1">
      <alignment horizontal="center" vertical="center"/>
    </xf>
    <xf numFmtId="0" fontId="21" fillId="8" borderId="4" xfId="0" applyFont="1" applyFill="1" applyBorder="1" applyAlignment="1">
      <alignment horizontal="center" vertical="center"/>
    </xf>
    <xf numFmtId="0" fontId="20" fillId="8" borderId="4" xfId="0" applyFont="1" applyFill="1" applyBorder="1" applyAlignment="1">
      <alignment horizontal="center" vertical="center"/>
    </xf>
    <xf numFmtId="1" fontId="20" fillId="8" borderId="4" xfId="0" applyNumberFormat="1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1" fontId="20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1" fontId="20" fillId="8" borderId="1" xfId="0" applyNumberFormat="1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/>
    </xf>
    <xf numFmtId="2" fontId="20" fillId="8" borderId="1" xfId="0" applyNumberFormat="1" applyFont="1" applyFill="1" applyBorder="1" applyAlignment="1">
      <alignment horizontal="center" vertical="center"/>
    </xf>
    <xf numFmtId="2" fontId="20" fillId="6" borderId="1" xfId="0" applyNumberFormat="1" applyFont="1" applyFill="1" applyBorder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2" fillId="0" borderId="0" xfId="6"/>
    <xf numFmtId="0" fontId="2" fillId="5" borderId="0" xfId="6" applyFill="1"/>
    <xf numFmtId="0" fontId="2" fillId="10" borderId="0" xfId="6" applyFill="1"/>
    <xf numFmtId="0" fontId="22" fillId="11" borderId="0" xfId="0" applyFont="1" applyFill="1" applyAlignment="1">
      <alignment vertical="center"/>
    </xf>
    <xf numFmtId="0" fontId="0" fillId="12" borderId="0" xfId="0" applyFill="1"/>
    <xf numFmtId="0" fontId="1" fillId="0" borderId="0" xfId="6" applyFont="1"/>
    <xf numFmtId="0" fontId="1" fillId="10" borderId="0" xfId="6" applyFont="1" applyFill="1"/>
    <xf numFmtId="0" fontId="23" fillId="11" borderId="0" xfId="0" applyFont="1" applyFill="1"/>
    <xf numFmtId="0" fontId="24" fillId="13" borderId="0" xfId="0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6" fillId="0" borderId="0" xfId="0" applyFont="1"/>
    <xf numFmtId="49" fontId="15" fillId="0" borderId="0" xfId="5" applyNumberFormat="1" applyFont="1"/>
    <xf numFmtId="0" fontId="17" fillId="0" borderId="0" xfId="5" applyFont="1"/>
    <xf numFmtId="0" fontId="18" fillId="0" borderId="0" xfId="5" applyFont="1"/>
    <xf numFmtId="0" fontId="14" fillId="0" borderId="0" xfId="5" applyFont="1" applyAlignment="1">
      <alignment horizontal="right"/>
    </xf>
    <xf numFmtId="49" fontId="14" fillId="0" borderId="0" xfId="5" applyNumberFormat="1" applyFont="1"/>
    <xf numFmtId="0" fontId="0" fillId="1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27" fillId="13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0" fillId="11" borderId="0" xfId="0" applyFill="1"/>
    <xf numFmtId="0" fontId="7" fillId="13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</cellXfs>
  <cellStyles count="7">
    <cellStyle name="Normaali_Packing_Plan_import_Shipping_rev1" xfId="1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 4" xfId="5" xr:uid="{81F9A1F4-F3CC-488C-87E3-EC379A438AC2}"/>
    <cellStyle name="Normal 5" xfId="6" xr:uid="{EBD1F532-9466-4345-8447-7ABFC19C75DD}"/>
    <cellStyle name="常规_container(loading) list for DRYER" xfId="2" xr:uid="{00000000-0005-0000-0000-000005000000}"/>
  </cellStyles>
  <dxfs count="0"/>
  <tableStyles count="0" defaultTableStyle="TableStyleMedium9" defaultPivotStyle="PivotStyleLight16"/>
  <colors>
    <mruColors>
      <color rgb="FFCCFF33"/>
      <color rgb="FFCCFFCC"/>
      <color rgb="FFCCFF66"/>
      <color rgb="FF99CC00"/>
      <color rgb="FFFFCC00"/>
      <color rgb="FFFFCCFF"/>
      <color rgb="FFFFFF00"/>
      <color rgb="FFCCFF99"/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2</xdr:row>
          <xdr:rowOff>222250</xdr:rowOff>
        </xdr:from>
        <xdr:to>
          <xdr:col>17</xdr:col>
          <xdr:colOff>349250</xdr:colOff>
          <xdr:row>2</xdr:row>
          <xdr:rowOff>511810</xdr:rowOff>
        </xdr:to>
        <xdr:sp macro="" textlink="">
          <xdr:nvSpPr>
            <xdr:cNvPr id="1053" name="cmdsetting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482600</xdr:colOff>
          <xdr:row>2</xdr:row>
          <xdr:rowOff>222250</xdr:rowOff>
        </xdr:from>
        <xdr:to>
          <xdr:col>8</xdr:col>
          <xdr:colOff>114300</xdr:colOff>
          <xdr:row>2</xdr:row>
          <xdr:rowOff>511810</xdr:rowOff>
        </xdr:to>
        <xdr:sp macro="" textlink="">
          <xdr:nvSpPr>
            <xdr:cNvPr id="1054" name="cmdaddpro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311150</xdr:colOff>
          <xdr:row>2</xdr:row>
          <xdr:rowOff>222250</xdr:rowOff>
        </xdr:from>
        <xdr:to>
          <xdr:col>35</xdr:col>
          <xdr:colOff>546100</xdr:colOff>
          <xdr:row>2</xdr:row>
          <xdr:rowOff>511810</xdr:rowOff>
        </xdr:to>
        <xdr:sp macro="" textlink="">
          <xdr:nvSpPr>
            <xdr:cNvPr id="1061" name="cmdreturnmai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279400</xdr:colOff>
          <xdr:row>2</xdr:row>
          <xdr:rowOff>222250</xdr:rowOff>
        </xdr:from>
        <xdr:to>
          <xdr:col>14</xdr:col>
          <xdr:colOff>514350</xdr:colOff>
          <xdr:row>2</xdr:row>
          <xdr:rowOff>511810</xdr:rowOff>
        </xdr:to>
        <xdr:sp macro="" textlink="">
          <xdr:nvSpPr>
            <xdr:cNvPr id="1063" name="cmddrawshape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</xdr:row>
          <xdr:rowOff>222250</xdr:rowOff>
        </xdr:from>
        <xdr:to>
          <xdr:col>10</xdr:col>
          <xdr:colOff>184150</xdr:colOff>
          <xdr:row>2</xdr:row>
          <xdr:rowOff>511810</xdr:rowOff>
        </xdr:to>
        <xdr:sp macro="" textlink="">
          <xdr:nvSpPr>
            <xdr:cNvPr id="1067" name="cmbtrantyp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4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565150</xdr:colOff>
          <xdr:row>2</xdr:row>
          <xdr:rowOff>222250</xdr:rowOff>
        </xdr:from>
        <xdr:to>
          <xdr:col>12</xdr:col>
          <xdr:colOff>273050</xdr:colOff>
          <xdr:row>2</xdr:row>
          <xdr:rowOff>511810</xdr:rowOff>
        </xdr:to>
        <xdr:sp macro="" textlink="">
          <xdr:nvSpPr>
            <xdr:cNvPr id="1068" name="cmbcontyp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2</xdr:row>
          <xdr:rowOff>222250</xdr:rowOff>
        </xdr:from>
        <xdr:to>
          <xdr:col>6</xdr:col>
          <xdr:colOff>0</xdr:colOff>
          <xdr:row>2</xdr:row>
          <xdr:rowOff>511810</xdr:rowOff>
        </xdr:to>
        <xdr:sp macro="" textlink="">
          <xdr:nvSpPr>
            <xdr:cNvPr id="1072" name="cmdsingleimpor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4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2</xdr:row>
          <xdr:rowOff>222250</xdr:rowOff>
        </xdr:from>
        <xdr:to>
          <xdr:col>34</xdr:col>
          <xdr:colOff>234950</xdr:colOff>
          <xdr:row>2</xdr:row>
          <xdr:rowOff>511810</xdr:rowOff>
        </xdr:to>
        <xdr:sp macro="" textlink="">
          <xdr:nvSpPr>
            <xdr:cNvPr id="1074" name="updatecalculation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4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222250</xdr:colOff>
          <xdr:row>2</xdr:row>
          <xdr:rowOff>222250</xdr:rowOff>
        </xdr:from>
        <xdr:to>
          <xdr:col>19</xdr:col>
          <xdr:colOff>457200</xdr:colOff>
          <xdr:row>2</xdr:row>
          <xdr:rowOff>511810</xdr:rowOff>
        </xdr:to>
        <xdr:sp macro="" textlink="">
          <xdr:nvSpPr>
            <xdr:cNvPr id="1075" name="cmdscrowtochart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4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pattFill prst="horzBrick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F9BB3-A0E8-4979-8AD6-6E2E6D42F529}">
  <sheetPr codeName="Sheet2">
    <tabColor theme="0" tint="-0.499984740745262"/>
  </sheetPr>
  <dimension ref="A1:AZ667"/>
  <sheetViews>
    <sheetView zoomScale="90" zoomScaleNormal="90" workbookViewId="0">
      <pane ySplit="1" topLeftCell="A638" activePane="bottomLeft" state="frozen"/>
      <selection pane="bottomLeft" activeCell="W656" sqref="W656"/>
    </sheetView>
  </sheetViews>
  <sheetFormatPr defaultRowHeight="14.5" x14ac:dyDescent="0.35"/>
  <cols>
    <col min="1" max="1" width="5.08984375" style="10" customWidth="1"/>
    <col min="2" max="2" width="13.26953125" style="10" customWidth="1"/>
    <col min="3" max="3" width="11.6328125" style="10" customWidth="1"/>
    <col min="4" max="4" width="7" style="10" customWidth="1"/>
    <col min="5" max="5" width="9.453125" style="10" customWidth="1"/>
    <col min="6" max="6" width="7.453125" style="10" customWidth="1"/>
    <col min="7" max="7" width="6.7265625" style="10" customWidth="1"/>
    <col min="8" max="8" width="7.453125" style="10" customWidth="1"/>
    <col min="9" max="9" width="8.7265625" style="10"/>
    <col min="10" max="10" width="17.26953125" style="10" customWidth="1"/>
    <col min="11" max="14" width="5.90625" style="10" customWidth="1"/>
    <col min="15" max="15" width="8.36328125" style="10" customWidth="1"/>
    <col min="16" max="16" width="5.1796875" style="10" customWidth="1"/>
    <col min="17" max="17" width="15.54296875" style="10" customWidth="1"/>
    <col min="18" max="18" width="16" style="10" customWidth="1"/>
    <col min="19" max="19" width="9.36328125" style="10" customWidth="1"/>
    <col min="20" max="20" width="8.26953125" style="10" customWidth="1"/>
    <col min="21" max="21" width="10.26953125" style="14" customWidth="1"/>
    <col min="22" max="22" width="14.453125" customWidth="1"/>
    <col min="23" max="23" width="14.36328125" customWidth="1"/>
    <col min="24" max="24" width="7.26953125" customWidth="1"/>
    <col min="53" max="16384" width="8.7265625" style="10"/>
  </cols>
  <sheetData>
    <row r="1" spans="1:52" s="13" customFormat="1" ht="19" customHeight="1" x14ac:dyDescent="0.25">
      <c r="A1" s="3" t="s">
        <v>3</v>
      </c>
      <c r="B1" s="3" t="s">
        <v>4</v>
      </c>
      <c r="C1" s="4" t="s">
        <v>1528</v>
      </c>
      <c r="D1" s="5" t="s">
        <v>1527</v>
      </c>
      <c r="E1" s="4" t="s">
        <v>1501</v>
      </c>
      <c r="F1" s="4" t="s">
        <v>1475</v>
      </c>
      <c r="G1" s="4" t="s">
        <v>1540</v>
      </c>
      <c r="H1" s="4" t="s">
        <v>1520</v>
      </c>
      <c r="I1" s="4" t="s">
        <v>5</v>
      </c>
      <c r="J1" s="4" t="s">
        <v>6</v>
      </c>
      <c r="K1" s="6" t="s">
        <v>1524</v>
      </c>
      <c r="L1" s="6" t="s">
        <v>1526</v>
      </c>
      <c r="M1" s="6" t="s">
        <v>1525</v>
      </c>
      <c r="N1" s="4" t="s">
        <v>1535</v>
      </c>
      <c r="O1" s="4" t="s">
        <v>7</v>
      </c>
      <c r="P1" s="7" t="s">
        <v>1529</v>
      </c>
      <c r="Q1" s="7" t="s">
        <v>1530</v>
      </c>
      <c r="R1" s="7" t="s">
        <v>1531</v>
      </c>
      <c r="S1" s="7" t="s">
        <v>8</v>
      </c>
      <c r="T1" s="7" t="s">
        <v>9</v>
      </c>
      <c r="U1" s="8" t="s">
        <v>10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16.5" customHeight="1" x14ac:dyDescent="0.35">
      <c r="A2" s="9">
        <v>5</v>
      </c>
      <c r="B2" s="10" t="s">
        <v>12</v>
      </c>
      <c r="C2" s="10" t="s">
        <v>13</v>
      </c>
      <c r="D2" s="10" t="s">
        <v>14</v>
      </c>
      <c r="E2" s="10" t="s">
        <v>15</v>
      </c>
      <c r="F2" s="10" t="s">
        <v>16</v>
      </c>
      <c r="G2" s="10">
        <v>240</v>
      </c>
      <c r="H2" s="10">
        <v>916</v>
      </c>
      <c r="I2" s="10" t="s">
        <v>17</v>
      </c>
      <c r="J2" s="10" t="s">
        <v>18</v>
      </c>
      <c r="K2" s="10">
        <v>2000</v>
      </c>
      <c r="L2" s="10">
        <v>1370</v>
      </c>
      <c r="M2" s="10">
        <v>1410</v>
      </c>
      <c r="N2" s="10">
        <v>3.86</v>
      </c>
      <c r="O2" s="10">
        <v>110</v>
      </c>
      <c r="P2" s="10">
        <v>1</v>
      </c>
      <c r="Q2" s="10" t="s">
        <v>19</v>
      </c>
      <c r="R2" s="10" t="s">
        <v>20</v>
      </c>
      <c r="S2" s="10">
        <v>3110</v>
      </c>
      <c r="T2" s="10">
        <v>3000</v>
      </c>
      <c r="U2" s="14" t="s">
        <v>1402</v>
      </c>
    </row>
    <row r="3" spans="1:52" ht="17" customHeight="1" x14ac:dyDescent="0.35">
      <c r="A3" s="9">
        <v>6</v>
      </c>
      <c r="B3" s="10" t="s">
        <v>21</v>
      </c>
      <c r="C3" s="10" t="s">
        <v>13</v>
      </c>
      <c r="D3" s="10" t="s">
        <v>14</v>
      </c>
      <c r="E3" s="10" t="s">
        <v>22</v>
      </c>
      <c r="F3" s="10" t="s">
        <v>16</v>
      </c>
      <c r="G3" s="10">
        <v>240</v>
      </c>
      <c r="H3" s="10">
        <v>916</v>
      </c>
      <c r="I3" s="10" t="s">
        <v>17</v>
      </c>
      <c r="J3" s="10" t="s">
        <v>18</v>
      </c>
      <c r="K3" s="10">
        <v>2000</v>
      </c>
      <c r="L3" s="10">
        <v>1370</v>
      </c>
      <c r="M3" s="10">
        <v>1410</v>
      </c>
      <c r="N3" s="10">
        <v>3.86</v>
      </c>
      <c r="O3" s="10">
        <v>110</v>
      </c>
      <c r="P3" s="10">
        <v>1</v>
      </c>
      <c r="Q3" s="10" t="s">
        <v>19</v>
      </c>
      <c r="R3" s="10" t="s">
        <v>20</v>
      </c>
      <c r="S3" s="10">
        <v>3020</v>
      </c>
      <c r="T3" s="10">
        <v>2910</v>
      </c>
      <c r="U3" s="14" t="s">
        <v>1402</v>
      </c>
    </row>
    <row r="4" spans="1:52" ht="17" customHeight="1" x14ac:dyDescent="0.35">
      <c r="A4" s="9">
        <v>7</v>
      </c>
      <c r="B4" s="10" t="s">
        <v>23</v>
      </c>
      <c r="C4" s="10" t="s">
        <v>13</v>
      </c>
      <c r="D4" s="10" t="s">
        <v>14</v>
      </c>
      <c r="E4" s="10" t="s">
        <v>22</v>
      </c>
      <c r="F4" s="10" t="s">
        <v>16</v>
      </c>
      <c r="G4" s="10">
        <v>450</v>
      </c>
      <c r="H4" s="10">
        <v>600</v>
      </c>
      <c r="I4" s="10" t="s">
        <v>24</v>
      </c>
      <c r="J4" s="10" t="s">
        <v>25</v>
      </c>
      <c r="K4" s="10">
        <v>2017</v>
      </c>
      <c r="L4" s="10">
        <v>1170</v>
      </c>
      <c r="M4" s="10">
        <v>1500</v>
      </c>
      <c r="N4" s="10">
        <v>3.54</v>
      </c>
      <c r="O4" s="10">
        <v>45</v>
      </c>
      <c r="P4" s="10">
        <v>1</v>
      </c>
      <c r="Q4" s="10" t="s">
        <v>26</v>
      </c>
      <c r="R4" s="10" t="s">
        <v>27</v>
      </c>
      <c r="S4" s="10">
        <v>2955</v>
      </c>
      <c r="T4" s="10">
        <v>2910</v>
      </c>
      <c r="U4" s="14" t="s">
        <v>1402</v>
      </c>
    </row>
    <row r="5" spans="1:52" ht="15" x14ac:dyDescent="0.35">
      <c r="A5" s="9">
        <v>8</v>
      </c>
      <c r="B5" s="10" t="s">
        <v>28</v>
      </c>
      <c r="C5" s="10" t="s">
        <v>13</v>
      </c>
      <c r="D5" s="10" t="s">
        <v>14</v>
      </c>
      <c r="E5" s="10" t="s">
        <v>29</v>
      </c>
      <c r="F5" s="10" t="s">
        <v>16</v>
      </c>
      <c r="G5" s="10">
        <v>450</v>
      </c>
      <c r="H5" s="10">
        <v>850</v>
      </c>
      <c r="I5" s="10" t="s">
        <v>24</v>
      </c>
      <c r="J5" s="10" t="s">
        <v>30</v>
      </c>
      <c r="K5" s="10">
        <v>2300</v>
      </c>
      <c r="L5" s="10">
        <v>1890</v>
      </c>
      <c r="M5" s="10">
        <v>1800</v>
      </c>
      <c r="N5" s="10">
        <v>7.82</v>
      </c>
      <c r="O5" s="10">
        <v>135</v>
      </c>
      <c r="P5" s="10">
        <v>1</v>
      </c>
      <c r="Q5" s="10" t="s">
        <v>31</v>
      </c>
      <c r="R5" s="10" t="s">
        <v>32</v>
      </c>
      <c r="S5" s="10">
        <v>3535</v>
      </c>
      <c r="T5" s="10">
        <v>3400</v>
      </c>
      <c r="U5" s="14" t="s">
        <v>1402</v>
      </c>
    </row>
    <row r="6" spans="1:52" ht="15" x14ac:dyDescent="0.35">
      <c r="A6" s="9">
        <v>9</v>
      </c>
      <c r="B6" s="10" t="s">
        <v>33</v>
      </c>
      <c r="C6" s="10" t="s">
        <v>13</v>
      </c>
      <c r="D6" s="10" t="s">
        <v>14</v>
      </c>
      <c r="E6" s="10" t="s">
        <v>29</v>
      </c>
      <c r="F6" s="10" t="s">
        <v>16</v>
      </c>
      <c r="G6" s="10">
        <v>450</v>
      </c>
      <c r="H6" s="10">
        <v>850</v>
      </c>
      <c r="I6" s="10" t="s">
        <v>34</v>
      </c>
      <c r="J6" s="10" t="s">
        <v>35</v>
      </c>
      <c r="K6" s="10">
        <v>2700</v>
      </c>
      <c r="L6" s="10">
        <v>1800</v>
      </c>
      <c r="M6" s="10">
        <v>1850</v>
      </c>
      <c r="N6" s="10">
        <v>8.99</v>
      </c>
      <c r="O6" s="10">
        <v>140</v>
      </c>
      <c r="P6" s="10">
        <v>1</v>
      </c>
      <c r="Q6" s="10" t="s">
        <v>36</v>
      </c>
      <c r="R6" s="10" t="s">
        <v>37</v>
      </c>
      <c r="S6" s="10">
        <v>3740</v>
      </c>
      <c r="T6" s="10">
        <v>3600</v>
      </c>
      <c r="U6" s="14" t="s">
        <v>1402</v>
      </c>
    </row>
    <row r="7" spans="1:52" ht="15" x14ac:dyDescent="0.35">
      <c r="A7" s="9">
        <v>10</v>
      </c>
      <c r="B7" s="10" t="s">
        <v>38</v>
      </c>
      <c r="C7" s="10" t="s">
        <v>13</v>
      </c>
      <c r="D7" s="10" t="s">
        <v>14</v>
      </c>
      <c r="E7" s="10" t="s">
        <v>29</v>
      </c>
      <c r="F7" s="10" t="s">
        <v>16</v>
      </c>
      <c r="G7" s="10">
        <v>450</v>
      </c>
      <c r="H7" s="10">
        <v>850</v>
      </c>
      <c r="I7" s="10" t="s">
        <v>39</v>
      </c>
      <c r="J7" s="10" t="s">
        <v>35</v>
      </c>
      <c r="K7" s="10">
        <v>2700</v>
      </c>
      <c r="L7" s="10">
        <v>1800</v>
      </c>
      <c r="M7" s="10">
        <v>1850</v>
      </c>
      <c r="N7" s="10">
        <v>8.99</v>
      </c>
      <c r="O7" s="10">
        <v>140</v>
      </c>
      <c r="P7" s="10">
        <v>1</v>
      </c>
      <c r="Q7" s="10" t="s">
        <v>36</v>
      </c>
      <c r="R7" s="10" t="s">
        <v>37</v>
      </c>
      <c r="S7" s="10">
        <v>3740</v>
      </c>
      <c r="T7" s="10">
        <v>3600</v>
      </c>
      <c r="U7" s="14" t="s">
        <v>1402</v>
      </c>
    </row>
    <row r="8" spans="1:52" ht="15" x14ac:dyDescent="0.35">
      <c r="A8" s="9">
        <v>11</v>
      </c>
      <c r="B8" s="10" t="s">
        <v>40</v>
      </c>
      <c r="C8" s="10" t="s">
        <v>13</v>
      </c>
      <c r="D8" s="10" t="s">
        <v>14</v>
      </c>
      <c r="E8" s="10" t="s">
        <v>29</v>
      </c>
      <c r="F8" s="10" t="s">
        <v>41</v>
      </c>
      <c r="G8" s="10">
        <v>450</v>
      </c>
      <c r="H8" s="10">
        <v>600</v>
      </c>
      <c r="I8" s="10" t="s">
        <v>17</v>
      </c>
      <c r="J8" s="10" t="s">
        <v>42</v>
      </c>
      <c r="K8" s="10">
        <v>1740</v>
      </c>
      <c r="L8" s="10">
        <v>1274</v>
      </c>
      <c r="M8" s="10">
        <v>1490</v>
      </c>
      <c r="N8" s="10">
        <v>3.3</v>
      </c>
      <c r="O8" s="10">
        <v>60</v>
      </c>
      <c r="P8" s="10">
        <v>1</v>
      </c>
      <c r="Q8" s="10" t="s">
        <v>43</v>
      </c>
      <c r="R8" s="10" t="s">
        <v>44</v>
      </c>
      <c r="S8" s="10">
        <v>2660</v>
      </c>
      <c r="T8" s="10">
        <v>2600</v>
      </c>
      <c r="U8" s="14" t="s">
        <v>1402</v>
      </c>
    </row>
    <row r="9" spans="1:52" ht="15" x14ac:dyDescent="0.35">
      <c r="A9" s="9">
        <v>12</v>
      </c>
      <c r="B9" s="10" t="s">
        <v>45</v>
      </c>
      <c r="C9" s="10" t="s">
        <v>13</v>
      </c>
      <c r="D9" s="10" t="s">
        <v>14</v>
      </c>
      <c r="E9" s="10" t="s">
        <v>46</v>
      </c>
      <c r="F9" s="10" t="s">
        <v>16</v>
      </c>
      <c r="G9" s="10">
        <v>450</v>
      </c>
      <c r="H9" s="10">
        <v>600</v>
      </c>
      <c r="I9" s="10" t="s">
        <v>17</v>
      </c>
      <c r="J9" s="10" t="s">
        <v>47</v>
      </c>
      <c r="K9" s="10">
        <v>1940</v>
      </c>
      <c r="L9" s="10">
        <v>1274</v>
      </c>
      <c r="M9" s="10">
        <v>1495</v>
      </c>
      <c r="N9" s="10">
        <v>3.69</v>
      </c>
      <c r="O9" s="10">
        <v>100</v>
      </c>
      <c r="P9" s="10">
        <v>1</v>
      </c>
      <c r="Q9" s="10" t="s">
        <v>48</v>
      </c>
      <c r="R9" s="10" t="s">
        <v>49</v>
      </c>
      <c r="S9" s="10">
        <v>2900</v>
      </c>
      <c r="T9" s="10">
        <v>2800</v>
      </c>
      <c r="U9" s="14" t="s">
        <v>1402</v>
      </c>
    </row>
    <row r="10" spans="1:52" ht="15" x14ac:dyDescent="0.35">
      <c r="A10" s="9">
        <v>13</v>
      </c>
      <c r="B10" s="10" t="s">
        <v>50</v>
      </c>
      <c r="C10" s="10" t="s">
        <v>13</v>
      </c>
      <c r="D10" s="10" t="s">
        <v>14</v>
      </c>
      <c r="E10" s="10" t="s">
        <v>51</v>
      </c>
      <c r="F10" s="10" t="s">
        <v>16</v>
      </c>
      <c r="G10" s="10">
        <v>450</v>
      </c>
      <c r="H10" s="10">
        <v>850</v>
      </c>
      <c r="I10" s="10" t="s">
        <v>24</v>
      </c>
      <c r="J10" s="10" t="s">
        <v>35</v>
      </c>
      <c r="K10" s="10">
        <v>2700</v>
      </c>
      <c r="L10" s="10">
        <v>1800</v>
      </c>
      <c r="M10" s="10">
        <v>1850</v>
      </c>
      <c r="N10" s="10">
        <v>8.99</v>
      </c>
      <c r="O10" s="10">
        <v>140</v>
      </c>
      <c r="P10" s="10">
        <v>1</v>
      </c>
      <c r="Q10" s="10" t="s">
        <v>36</v>
      </c>
      <c r="R10" s="10" t="s">
        <v>37</v>
      </c>
      <c r="S10" s="10">
        <v>3940</v>
      </c>
      <c r="T10" s="10">
        <v>3800</v>
      </c>
      <c r="U10" s="14" t="s">
        <v>1402</v>
      </c>
    </row>
    <row r="11" spans="1:52" ht="15" x14ac:dyDescent="0.35">
      <c r="A11" s="9">
        <v>14</v>
      </c>
      <c r="B11" s="10" t="s">
        <v>52</v>
      </c>
      <c r="C11" s="10" t="s">
        <v>13</v>
      </c>
      <c r="D11" s="10" t="s">
        <v>14</v>
      </c>
      <c r="E11" s="10" t="s">
        <v>53</v>
      </c>
      <c r="F11" s="10" t="s">
        <v>16</v>
      </c>
      <c r="G11" s="10">
        <v>450</v>
      </c>
      <c r="H11" s="10">
        <v>850</v>
      </c>
      <c r="I11" s="10" t="s">
        <v>39</v>
      </c>
      <c r="J11" s="10" t="s">
        <v>54</v>
      </c>
      <c r="K11" s="10">
        <v>2750</v>
      </c>
      <c r="L11" s="10">
        <v>1800</v>
      </c>
      <c r="M11" s="10">
        <v>1850</v>
      </c>
      <c r="N11" s="10">
        <v>9.16</v>
      </c>
      <c r="O11" s="10">
        <v>140</v>
      </c>
      <c r="P11" s="10">
        <v>1</v>
      </c>
      <c r="Q11" s="10" t="s">
        <v>55</v>
      </c>
      <c r="R11" s="10" t="s">
        <v>56</v>
      </c>
      <c r="S11" s="10">
        <v>4140</v>
      </c>
      <c r="T11" s="10">
        <v>4000</v>
      </c>
      <c r="U11" s="14" t="s">
        <v>1402</v>
      </c>
    </row>
    <row r="12" spans="1:52" ht="16" customHeight="1" x14ac:dyDescent="0.35">
      <c r="A12" s="9">
        <v>15</v>
      </c>
      <c r="B12" s="10" t="s">
        <v>57</v>
      </c>
      <c r="C12" s="10" t="s">
        <v>13</v>
      </c>
      <c r="D12" s="10" t="s">
        <v>14</v>
      </c>
      <c r="E12" s="10" t="s">
        <v>58</v>
      </c>
      <c r="F12" s="10" t="s">
        <v>16</v>
      </c>
      <c r="G12" s="10">
        <v>450</v>
      </c>
      <c r="H12" s="10">
        <v>600</v>
      </c>
      <c r="I12" s="10" t="s">
        <v>17</v>
      </c>
      <c r="J12" s="10" t="s">
        <v>59</v>
      </c>
      <c r="K12" s="10">
        <v>2255</v>
      </c>
      <c r="L12" s="10">
        <v>1600</v>
      </c>
      <c r="M12" s="10">
        <v>1554</v>
      </c>
      <c r="N12" s="10">
        <v>5.61</v>
      </c>
      <c r="O12" s="10">
        <v>118</v>
      </c>
      <c r="P12" s="10">
        <v>1</v>
      </c>
      <c r="Q12" s="10" t="s">
        <v>60</v>
      </c>
      <c r="R12" s="10" t="s">
        <v>61</v>
      </c>
      <c r="S12" s="10">
        <v>3568</v>
      </c>
      <c r="T12" s="10">
        <v>3450</v>
      </c>
      <c r="U12" s="14" t="s">
        <v>1402</v>
      </c>
    </row>
    <row r="13" spans="1:52" ht="17" customHeight="1" x14ac:dyDescent="0.35">
      <c r="A13" s="9">
        <v>16</v>
      </c>
      <c r="B13" s="10" t="s">
        <v>62</v>
      </c>
      <c r="C13" s="10" t="s">
        <v>13</v>
      </c>
      <c r="D13" s="10" t="s">
        <v>14</v>
      </c>
      <c r="E13" s="10" t="s">
        <v>58</v>
      </c>
      <c r="F13" s="10" t="s">
        <v>41</v>
      </c>
      <c r="G13" s="10">
        <v>450</v>
      </c>
      <c r="H13" s="10">
        <v>600</v>
      </c>
      <c r="I13" s="10" t="s">
        <v>17</v>
      </c>
      <c r="J13" s="10" t="s">
        <v>63</v>
      </c>
      <c r="K13" s="10">
        <v>2075</v>
      </c>
      <c r="L13" s="10">
        <v>1600</v>
      </c>
      <c r="M13" s="10">
        <v>1554</v>
      </c>
      <c r="N13" s="10">
        <v>5.16</v>
      </c>
      <c r="O13" s="10">
        <v>112</v>
      </c>
      <c r="P13" s="10">
        <v>1</v>
      </c>
      <c r="Q13" s="10" t="s">
        <v>64</v>
      </c>
      <c r="R13" s="10" t="s">
        <v>61</v>
      </c>
      <c r="S13" s="10">
        <v>3512</v>
      </c>
      <c r="T13" s="10">
        <v>3400</v>
      </c>
      <c r="U13" s="14" t="s">
        <v>1402</v>
      </c>
    </row>
    <row r="14" spans="1:52" ht="15" x14ac:dyDescent="0.35">
      <c r="A14" s="9">
        <v>17</v>
      </c>
      <c r="B14" s="10" t="s">
        <v>65</v>
      </c>
      <c r="C14" s="10" t="s">
        <v>13</v>
      </c>
      <c r="D14" s="10" t="s">
        <v>14</v>
      </c>
      <c r="E14" s="10" t="s">
        <v>66</v>
      </c>
      <c r="F14" s="10" t="s">
        <v>16</v>
      </c>
      <c r="G14" s="10">
        <v>450</v>
      </c>
      <c r="H14" s="10">
        <v>600</v>
      </c>
      <c r="I14" s="10" t="s">
        <v>17</v>
      </c>
      <c r="J14" s="10" t="s">
        <v>67</v>
      </c>
      <c r="K14" s="10">
        <v>2200</v>
      </c>
      <c r="L14" s="10">
        <v>1500</v>
      </c>
      <c r="M14" s="10">
        <v>1500</v>
      </c>
      <c r="N14" s="10">
        <v>4.95</v>
      </c>
      <c r="O14" s="10">
        <v>115</v>
      </c>
      <c r="P14" s="10">
        <v>1</v>
      </c>
      <c r="Q14" s="10" t="s">
        <v>68</v>
      </c>
      <c r="R14" s="10" t="s">
        <v>61</v>
      </c>
      <c r="S14" s="10">
        <v>2990</v>
      </c>
      <c r="T14" s="10">
        <v>2875</v>
      </c>
      <c r="U14" s="14" t="s">
        <v>1402</v>
      </c>
    </row>
    <row r="15" spans="1:52" ht="15" x14ac:dyDescent="0.35">
      <c r="A15" s="9">
        <v>18</v>
      </c>
      <c r="B15" s="10" t="s">
        <v>69</v>
      </c>
      <c r="C15" s="10" t="s">
        <v>13</v>
      </c>
      <c r="D15" s="10" t="s">
        <v>14</v>
      </c>
      <c r="E15" s="10" t="s">
        <v>66</v>
      </c>
      <c r="F15" s="10" t="s">
        <v>41</v>
      </c>
      <c r="G15" s="10">
        <v>450</v>
      </c>
      <c r="H15" s="10">
        <v>600</v>
      </c>
      <c r="I15" s="10" t="s">
        <v>17</v>
      </c>
      <c r="J15" s="10" t="s">
        <v>70</v>
      </c>
      <c r="K15" s="10">
        <v>2000</v>
      </c>
      <c r="L15" s="10">
        <v>1600</v>
      </c>
      <c r="M15" s="10">
        <v>1554</v>
      </c>
      <c r="N15" s="10">
        <v>4.97</v>
      </c>
      <c r="O15" s="10">
        <v>110</v>
      </c>
      <c r="P15" s="10">
        <v>1</v>
      </c>
      <c r="Q15" s="10" t="s">
        <v>71</v>
      </c>
      <c r="R15" s="10" t="s">
        <v>61</v>
      </c>
      <c r="S15" s="10">
        <v>3210</v>
      </c>
      <c r="T15" s="10">
        <v>3100</v>
      </c>
      <c r="U15" s="14" t="s">
        <v>1402</v>
      </c>
    </row>
    <row r="16" spans="1:52" ht="15" x14ac:dyDescent="0.35">
      <c r="A16" s="9">
        <v>19</v>
      </c>
      <c r="B16" s="10" t="s">
        <v>72</v>
      </c>
      <c r="C16" s="10" t="s">
        <v>13</v>
      </c>
      <c r="D16" s="10" t="s">
        <v>14</v>
      </c>
      <c r="E16" s="10" t="s">
        <v>73</v>
      </c>
      <c r="F16" s="10" t="s">
        <v>16</v>
      </c>
      <c r="G16" s="10">
        <v>450</v>
      </c>
      <c r="H16" s="10">
        <v>600</v>
      </c>
      <c r="I16" s="10" t="s">
        <v>17</v>
      </c>
      <c r="J16" s="10" t="s">
        <v>59</v>
      </c>
      <c r="K16" s="10">
        <v>2255</v>
      </c>
      <c r="L16" s="10">
        <v>1600</v>
      </c>
      <c r="M16" s="10">
        <v>1554</v>
      </c>
      <c r="N16" s="10">
        <v>5.61</v>
      </c>
      <c r="O16" s="10">
        <v>118</v>
      </c>
      <c r="P16" s="10">
        <v>1</v>
      </c>
      <c r="Q16" s="10" t="s">
        <v>60</v>
      </c>
      <c r="R16" s="10" t="s">
        <v>61</v>
      </c>
      <c r="S16" s="10">
        <v>3718</v>
      </c>
      <c r="T16" s="10">
        <v>3600</v>
      </c>
      <c r="U16" s="14" t="s">
        <v>1402</v>
      </c>
    </row>
    <row r="17" spans="1:21" ht="15" x14ac:dyDescent="0.35">
      <c r="A17" s="9">
        <v>20</v>
      </c>
      <c r="B17" s="49"/>
      <c r="C17" s="49" t="s">
        <v>74</v>
      </c>
      <c r="D17" s="49" t="s">
        <v>75</v>
      </c>
      <c r="E17" s="49" t="s">
        <v>76</v>
      </c>
      <c r="F17" s="10" t="s">
        <v>77</v>
      </c>
      <c r="I17" s="10" t="s">
        <v>11</v>
      </c>
      <c r="J17" s="50" t="s">
        <v>78</v>
      </c>
      <c r="K17" s="10">
        <v>1969</v>
      </c>
      <c r="L17" s="10">
        <v>1294</v>
      </c>
      <c r="M17" s="10">
        <v>1615</v>
      </c>
      <c r="O17" s="10">
        <v>106</v>
      </c>
      <c r="P17" s="10">
        <v>1</v>
      </c>
      <c r="Q17" s="10" t="s">
        <v>79</v>
      </c>
      <c r="R17" s="10" t="s">
        <v>1404</v>
      </c>
      <c r="S17" s="51"/>
      <c r="T17" s="51"/>
      <c r="U17" s="14" t="s">
        <v>1402</v>
      </c>
    </row>
    <row r="18" spans="1:21" ht="15" x14ac:dyDescent="0.35">
      <c r="A18" s="9">
        <v>21</v>
      </c>
      <c r="B18" s="49"/>
      <c r="C18" s="49" t="s">
        <v>74</v>
      </c>
      <c r="D18" s="49" t="s">
        <v>75</v>
      </c>
      <c r="E18" s="49" t="s">
        <v>80</v>
      </c>
      <c r="F18" s="10" t="s">
        <v>77</v>
      </c>
      <c r="I18" s="10" t="s">
        <v>11</v>
      </c>
      <c r="J18" s="50" t="s">
        <v>81</v>
      </c>
      <c r="K18" s="10">
        <v>2069</v>
      </c>
      <c r="L18" s="10">
        <v>1294</v>
      </c>
      <c r="M18" s="10">
        <v>1615</v>
      </c>
      <c r="O18" s="10">
        <v>109</v>
      </c>
      <c r="P18" s="10">
        <v>1</v>
      </c>
      <c r="Q18" s="10" t="s">
        <v>82</v>
      </c>
      <c r="R18" s="10" t="s">
        <v>1405</v>
      </c>
      <c r="S18" s="51"/>
      <c r="T18" s="51"/>
      <c r="U18" s="14" t="s">
        <v>1402</v>
      </c>
    </row>
    <row r="19" spans="1:21" ht="15" x14ac:dyDescent="0.35">
      <c r="A19" s="9">
        <v>22</v>
      </c>
      <c r="B19" s="49"/>
      <c r="C19" s="49" t="s">
        <v>74</v>
      </c>
      <c r="D19" s="49" t="s">
        <v>75</v>
      </c>
      <c r="E19" s="49" t="s">
        <v>83</v>
      </c>
      <c r="F19" s="10" t="s">
        <v>77</v>
      </c>
      <c r="I19" s="10" t="s">
        <v>11</v>
      </c>
      <c r="J19" s="50" t="s">
        <v>84</v>
      </c>
      <c r="K19" s="10">
        <v>2169</v>
      </c>
      <c r="L19" s="10">
        <v>1294</v>
      </c>
      <c r="M19" s="10">
        <v>1615</v>
      </c>
      <c r="O19" s="10">
        <v>112</v>
      </c>
      <c r="P19" s="10">
        <v>1</v>
      </c>
      <c r="Q19" s="10" t="s">
        <v>85</v>
      </c>
      <c r="R19" s="10" t="s">
        <v>1406</v>
      </c>
      <c r="S19" s="51"/>
      <c r="T19" s="51"/>
      <c r="U19" s="14" t="s">
        <v>1402</v>
      </c>
    </row>
    <row r="20" spans="1:21" ht="15" x14ac:dyDescent="0.35">
      <c r="A20" s="9">
        <v>23</v>
      </c>
      <c r="B20" s="49"/>
      <c r="C20" s="49" t="s">
        <v>74</v>
      </c>
      <c r="D20" s="49" t="s">
        <v>75</v>
      </c>
      <c r="E20" s="49" t="s">
        <v>86</v>
      </c>
      <c r="F20" s="10" t="s">
        <v>77</v>
      </c>
      <c r="I20" s="10" t="s">
        <v>11</v>
      </c>
      <c r="J20" s="50" t="s">
        <v>87</v>
      </c>
      <c r="K20" s="10">
        <v>2269</v>
      </c>
      <c r="L20" s="10">
        <v>1294</v>
      </c>
      <c r="M20" s="10">
        <v>1615</v>
      </c>
      <c r="O20" s="10">
        <v>115</v>
      </c>
      <c r="P20" s="10">
        <v>1</v>
      </c>
      <c r="Q20" s="10" t="s">
        <v>88</v>
      </c>
      <c r="R20" s="10" t="s">
        <v>1407</v>
      </c>
      <c r="S20" s="51"/>
      <c r="T20" s="51"/>
      <c r="U20" s="14" t="s">
        <v>1402</v>
      </c>
    </row>
    <row r="21" spans="1:21" ht="15" x14ac:dyDescent="0.35">
      <c r="A21" s="9">
        <v>24</v>
      </c>
      <c r="B21" s="49"/>
      <c r="C21" s="49" t="s">
        <v>75</v>
      </c>
      <c r="D21" s="49" t="s">
        <v>75</v>
      </c>
      <c r="E21" s="10" t="s">
        <v>89</v>
      </c>
      <c r="F21" s="10" t="s">
        <v>90</v>
      </c>
      <c r="I21" s="10" t="s">
        <v>11</v>
      </c>
      <c r="J21" s="10" t="s">
        <v>91</v>
      </c>
      <c r="K21" s="10">
        <v>2220</v>
      </c>
      <c r="L21" s="10">
        <v>1294</v>
      </c>
      <c r="M21" s="10">
        <v>1615</v>
      </c>
      <c r="O21" s="10">
        <v>101</v>
      </c>
      <c r="P21" s="10">
        <v>1</v>
      </c>
      <c r="Q21" s="10" t="s">
        <v>92</v>
      </c>
      <c r="R21" s="10" t="s">
        <v>1408</v>
      </c>
      <c r="S21" s="51"/>
      <c r="T21" s="51"/>
      <c r="U21" s="14" t="s">
        <v>1402</v>
      </c>
    </row>
    <row r="22" spans="1:21" ht="15" x14ac:dyDescent="0.35">
      <c r="A22" s="9">
        <v>25</v>
      </c>
      <c r="B22" s="49"/>
      <c r="C22" s="49" t="s">
        <v>75</v>
      </c>
      <c r="D22" s="49" t="s">
        <v>75</v>
      </c>
      <c r="E22" s="10" t="s">
        <v>89</v>
      </c>
      <c r="F22" s="10" t="s">
        <v>90</v>
      </c>
      <c r="I22" s="10" t="s">
        <v>11</v>
      </c>
      <c r="J22" s="10" t="s">
        <v>91</v>
      </c>
      <c r="K22" s="10">
        <v>2220</v>
      </c>
      <c r="L22" s="10">
        <v>1294</v>
      </c>
      <c r="M22" s="10">
        <v>1615</v>
      </c>
      <c r="O22" s="10">
        <v>104</v>
      </c>
      <c r="P22" s="10">
        <v>1</v>
      </c>
      <c r="Q22" s="10" t="s">
        <v>93</v>
      </c>
      <c r="R22" s="10" t="s">
        <v>1409</v>
      </c>
      <c r="S22" s="51"/>
      <c r="T22" s="51"/>
      <c r="U22" s="14" t="s">
        <v>1402</v>
      </c>
    </row>
    <row r="23" spans="1:21" ht="15" x14ac:dyDescent="0.35">
      <c r="A23" s="9">
        <v>26</v>
      </c>
      <c r="B23" s="49"/>
      <c r="C23" s="49" t="s">
        <v>75</v>
      </c>
      <c r="D23" s="49" t="s">
        <v>75</v>
      </c>
      <c r="E23" s="10" t="s">
        <v>89</v>
      </c>
      <c r="F23" s="10" t="s">
        <v>90</v>
      </c>
      <c r="I23" s="10" t="s">
        <v>94</v>
      </c>
      <c r="J23" s="10" t="s">
        <v>95</v>
      </c>
      <c r="K23" s="10">
        <v>2370</v>
      </c>
      <c r="L23" s="10">
        <v>1494</v>
      </c>
      <c r="M23" s="10">
        <v>1615</v>
      </c>
      <c r="O23" s="10">
        <v>115</v>
      </c>
      <c r="P23" s="10">
        <v>1</v>
      </c>
      <c r="Q23" s="10" t="s">
        <v>96</v>
      </c>
      <c r="R23" s="10" t="s">
        <v>1410</v>
      </c>
      <c r="S23" s="51"/>
      <c r="T23" s="51"/>
      <c r="U23" s="14" t="s">
        <v>1402</v>
      </c>
    </row>
    <row r="24" spans="1:21" ht="15" x14ac:dyDescent="0.35">
      <c r="A24" s="9">
        <v>27</v>
      </c>
      <c r="B24" s="49"/>
      <c r="C24" s="49" t="s">
        <v>75</v>
      </c>
      <c r="D24" s="49" t="s">
        <v>75</v>
      </c>
      <c r="E24" s="10" t="s">
        <v>89</v>
      </c>
      <c r="F24" s="10" t="s">
        <v>77</v>
      </c>
      <c r="I24" s="10" t="s">
        <v>11</v>
      </c>
      <c r="J24" s="10" t="s">
        <v>97</v>
      </c>
      <c r="K24" s="10">
        <v>2060</v>
      </c>
      <c r="L24" s="10">
        <v>1294</v>
      </c>
      <c r="M24" s="10">
        <v>1615</v>
      </c>
      <c r="O24" s="10">
        <v>99</v>
      </c>
      <c r="P24" s="10">
        <v>1</v>
      </c>
      <c r="Q24" s="10" t="s">
        <v>98</v>
      </c>
      <c r="R24" s="10" t="s">
        <v>1411</v>
      </c>
      <c r="S24" s="51"/>
      <c r="T24" s="51"/>
      <c r="U24" s="14" t="s">
        <v>1402</v>
      </c>
    </row>
    <row r="25" spans="1:21" ht="15" x14ac:dyDescent="0.35">
      <c r="A25" s="9">
        <v>28</v>
      </c>
      <c r="B25" s="49"/>
      <c r="C25" s="49" t="s">
        <v>75</v>
      </c>
      <c r="D25" s="49" t="s">
        <v>75</v>
      </c>
      <c r="E25" s="10" t="s">
        <v>89</v>
      </c>
      <c r="F25" s="10" t="s">
        <v>77</v>
      </c>
      <c r="I25" s="10" t="s">
        <v>11</v>
      </c>
      <c r="J25" s="10" t="s">
        <v>99</v>
      </c>
      <c r="K25" s="10">
        <v>2180</v>
      </c>
      <c r="L25" s="10">
        <v>1294</v>
      </c>
      <c r="M25" s="10">
        <v>1615</v>
      </c>
      <c r="O25" s="10">
        <v>102</v>
      </c>
      <c r="P25" s="10">
        <v>1</v>
      </c>
      <c r="Q25" s="10" t="s">
        <v>100</v>
      </c>
      <c r="R25" s="10" t="s">
        <v>1412</v>
      </c>
      <c r="S25" s="51"/>
      <c r="T25" s="51"/>
      <c r="U25" s="14" t="s">
        <v>1402</v>
      </c>
    </row>
    <row r="26" spans="1:21" ht="15" x14ac:dyDescent="0.35">
      <c r="A26" s="9">
        <v>29</v>
      </c>
      <c r="B26" s="49"/>
      <c r="C26" s="49" t="s">
        <v>75</v>
      </c>
      <c r="D26" s="49" t="s">
        <v>75</v>
      </c>
      <c r="E26" s="10" t="s">
        <v>89</v>
      </c>
      <c r="F26" s="10" t="s">
        <v>77</v>
      </c>
      <c r="I26" s="10" t="s">
        <v>11</v>
      </c>
      <c r="J26" s="10" t="s">
        <v>101</v>
      </c>
      <c r="K26" s="10">
        <v>1980</v>
      </c>
      <c r="L26" s="10">
        <v>1644</v>
      </c>
      <c r="M26" s="10">
        <v>1615</v>
      </c>
      <c r="O26" s="10">
        <v>100</v>
      </c>
      <c r="P26" s="10">
        <v>1</v>
      </c>
      <c r="Q26" s="10" t="s">
        <v>102</v>
      </c>
      <c r="R26" s="10" t="s">
        <v>1412</v>
      </c>
      <c r="S26" s="51"/>
      <c r="T26" s="51"/>
      <c r="U26" s="14" t="s">
        <v>1402</v>
      </c>
    </row>
    <row r="27" spans="1:21" ht="15" x14ac:dyDescent="0.35">
      <c r="A27" s="9">
        <v>30</v>
      </c>
      <c r="B27" s="49"/>
      <c r="C27" s="49" t="s">
        <v>75</v>
      </c>
      <c r="D27" s="49" t="s">
        <v>75</v>
      </c>
      <c r="E27" s="10" t="s">
        <v>89</v>
      </c>
      <c r="F27" s="10" t="s">
        <v>77</v>
      </c>
      <c r="I27" s="10" t="s">
        <v>94</v>
      </c>
      <c r="J27" s="10" t="s">
        <v>103</v>
      </c>
      <c r="K27" s="10">
        <v>2100</v>
      </c>
      <c r="L27" s="10">
        <v>1644</v>
      </c>
      <c r="M27" s="10">
        <v>1615</v>
      </c>
      <c r="O27" s="10">
        <v>106</v>
      </c>
      <c r="P27" s="10">
        <v>1</v>
      </c>
      <c r="Q27" s="10" t="s">
        <v>104</v>
      </c>
      <c r="R27" s="10" t="s">
        <v>1413</v>
      </c>
      <c r="S27" s="51"/>
      <c r="T27" s="51"/>
      <c r="U27" s="14" t="s">
        <v>1402</v>
      </c>
    </row>
    <row r="28" spans="1:21" ht="15" x14ac:dyDescent="0.35">
      <c r="A28" s="9">
        <v>31</v>
      </c>
      <c r="B28" s="49"/>
      <c r="C28" s="49" t="s">
        <v>75</v>
      </c>
      <c r="D28" s="49" t="s">
        <v>75</v>
      </c>
      <c r="E28" s="10" t="s">
        <v>89</v>
      </c>
      <c r="F28" s="10" t="s">
        <v>77</v>
      </c>
      <c r="I28" s="10" t="s">
        <v>94</v>
      </c>
      <c r="J28" s="10" t="s">
        <v>105</v>
      </c>
      <c r="K28" s="10">
        <v>2200</v>
      </c>
      <c r="L28" s="10">
        <v>1644</v>
      </c>
      <c r="M28" s="10">
        <v>1615</v>
      </c>
      <c r="O28" s="10">
        <v>109</v>
      </c>
      <c r="P28" s="10">
        <v>1</v>
      </c>
      <c r="Q28" s="10" t="s">
        <v>106</v>
      </c>
      <c r="R28" s="10" t="s">
        <v>1414</v>
      </c>
      <c r="S28" s="51"/>
      <c r="T28" s="51"/>
      <c r="U28" s="14" t="s">
        <v>1402</v>
      </c>
    </row>
    <row r="29" spans="1:21" ht="15" x14ac:dyDescent="0.35">
      <c r="A29" s="9">
        <v>32</v>
      </c>
      <c r="B29" s="10" t="s">
        <v>107</v>
      </c>
      <c r="C29" s="10" t="s">
        <v>108</v>
      </c>
      <c r="D29" s="10" t="s">
        <v>75</v>
      </c>
      <c r="E29" s="10" t="s">
        <v>15</v>
      </c>
      <c r="F29" s="10" t="s">
        <v>41</v>
      </c>
      <c r="G29" s="10">
        <v>500</v>
      </c>
      <c r="H29" s="10">
        <v>750</v>
      </c>
      <c r="I29" s="10" t="s">
        <v>17</v>
      </c>
      <c r="J29" s="10" t="s">
        <v>109</v>
      </c>
      <c r="K29" s="10">
        <v>2060</v>
      </c>
      <c r="L29" s="10">
        <v>1294</v>
      </c>
      <c r="M29" s="10">
        <v>1615</v>
      </c>
      <c r="N29" s="10">
        <v>4.3099999999999996</v>
      </c>
      <c r="O29" s="10">
        <v>99</v>
      </c>
      <c r="P29" s="10">
        <v>1</v>
      </c>
      <c r="Q29" s="10" t="s">
        <v>110</v>
      </c>
      <c r="R29" s="10" t="s">
        <v>111</v>
      </c>
      <c r="S29" s="10">
        <v>4544</v>
      </c>
      <c r="T29" s="10">
        <v>4445</v>
      </c>
      <c r="U29" s="14" t="s">
        <v>1402</v>
      </c>
    </row>
    <row r="30" spans="1:21" ht="15" x14ac:dyDescent="0.35">
      <c r="A30" s="9">
        <v>33</v>
      </c>
      <c r="B30" s="49"/>
      <c r="C30" s="49" t="s">
        <v>75</v>
      </c>
      <c r="D30" s="49" t="s">
        <v>75</v>
      </c>
      <c r="E30" s="10" t="s">
        <v>112</v>
      </c>
      <c r="F30" s="10" t="s">
        <v>90</v>
      </c>
      <c r="I30" s="10" t="s">
        <v>11</v>
      </c>
      <c r="J30" s="10" t="s">
        <v>113</v>
      </c>
      <c r="K30" s="10">
        <v>2120</v>
      </c>
      <c r="L30" s="10">
        <v>1294</v>
      </c>
      <c r="M30" s="10">
        <v>1615</v>
      </c>
      <c r="O30" s="10">
        <v>98</v>
      </c>
      <c r="P30" s="10">
        <v>1</v>
      </c>
      <c r="Q30" s="10" t="s">
        <v>114</v>
      </c>
      <c r="R30" s="10" t="s">
        <v>1415</v>
      </c>
      <c r="S30" s="51"/>
      <c r="T30" s="51"/>
      <c r="U30" s="14" t="s">
        <v>1402</v>
      </c>
    </row>
    <row r="31" spans="1:21" ht="15" x14ac:dyDescent="0.35">
      <c r="A31" s="9">
        <v>34</v>
      </c>
      <c r="B31" s="49"/>
      <c r="C31" s="49" t="s">
        <v>75</v>
      </c>
      <c r="D31" s="49" t="s">
        <v>75</v>
      </c>
      <c r="E31" s="10" t="s">
        <v>112</v>
      </c>
      <c r="F31" s="10" t="s">
        <v>90</v>
      </c>
      <c r="I31" s="10" t="s">
        <v>11</v>
      </c>
      <c r="J31" s="10" t="s">
        <v>115</v>
      </c>
      <c r="K31" s="10">
        <v>2240</v>
      </c>
      <c r="L31" s="10">
        <v>1294</v>
      </c>
      <c r="M31" s="10">
        <v>1615</v>
      </c>
      <c r="O31" s="10">
        <v>101</v>
      </c>
      <c r="P31" s="10">
        <v>1</v>
      </c>
      <c r="Q31" s="10" t="s">
        <v>116</v>
      </c>
      <c r="R31" s="10" t="s">
        <v>1416</v>
      </c>
      <c r="S31" s="51"/>
      <c r="T31" s="51"/>
      <c r="U31" s="14" t="s">
        <v>1402</v>
      </c>
    </row>
    <row r="32" spans="1:21" ht="15" x14ac:dyDescent="0.35">
      <c r="A32" s="9">
        <v>35</v>
      </c>
      <c r="B32" s="49"/>
      <c r="C32" s="49" t="s">
        <v>75</v>
      </c>
      <c r="D32" s="49" t="s">
        <v>75</v>
      </c>
      <c r="E32" s="10" t="s">
        <v>112</v>
      </c>
      <c r="F32" s="10" t="s">
        <v>90</v>
      </c>
      <c r="I32" s="10" t="s">
        <v>94</v>
      </c>
      <c r="J32" s="10" t="s">
        <v>117</v>
      </c>
      <c r="K32" s="10">
        <v>2270</v>
      </c>
      <c r="L32" s="10">
        <v>1494</v>
      </c>
      <c r="M32" s="10">
        <v>1615</v>
      </c>
      <c r="O32" s="10">
        <v>112</v>
      </c>
      <c r="P32" s="10">
        <v>1</v>
      </c>
      <c r="Q32" s="10" t="s">
        <v>118</v>
      </c>
      <c r="R32" s="10" t="s">
        <v>1417</v>
      </c>
      <c r="S32" s="51"/>
      <c r="T32" s="51"/>
      <c r="U32" s="14" t="s">
        <v>1402</v>
      </c>
    </row>
    <row r="33" spans="1:21" ht="15" x14ac:dyDescent="0.35">
      <c r="A33" s="9">
        <v>36</v>
      </c>
      <c r="B33" s="49"/>
      <c r="C33" s="49" t="s">
        <v>75</v>
      </c>
      <c r="D33" s="49" t="s">
        <v>75</v>
      </c>
      <c r="E33" s="10" t="s">
        <v>112</v>
      </c>
      <c r="F33" s="10" t="s">
        <v>77</v>
      </c>
      <c r="I33" s="10" t="s">
        <v>11</v>
      </c>
      <c r="J33" s="10" t="s">
        <v>119</v>
      </c>
      <c r="K33" s="10">
        <v>1960</v>
      </c>
      <c r="L33" s="10">
        <v>1294</v>
      </c>
      <c r="M33" s="10">
        <v>1615</v>
      </c>
      <c r="O33" s="10">
        <v>96</v>
      </c>
      <c r="P33" s="10">
        <v>1</v>
      </c>
      <c r="Q33" s="10" t="s">
        <v>120</v>
      </c>
      <c r="R33" s="10" t="s">
        <v>1418</v>
      </c>
      <c r="S33" s="51"/>
      <c r="T33" s="51"/>
      <c r="U33" s="14" t="s">
        <v>1402</v>
      </c>
    </row>
    <row r="34" spans="1:21" ht="15" x14ac:dyDescent="0.35">
      <c r="A34" s="9">
        <v>37</v>
      </c>
      <c r="B34" s="49"/>
      <c r="C34" s="49" t="s">
        <v>75</v>
      </c>
      <c r="D34" s="49" t="s">
        <v>75</v>
      </c>
      <c r="E34" s="10" t="s">
        <v>112</v>
      </c>
      <c r="F34" s="10" t="s">
        <v>77</v>
      </c>
      <c r="I34" s="10" t="s">
        <v>11</v>
      </c>
      <c r="J34" s="10" t="s">
        <v>121</v>
      </c>
      <c r="K34" s="10">
        <v>2080</v>
      </c>
      <c r="L34" s="10">
        <v>1294</v>
      </c>
      <c r="M34" s="10">
        <v>1615</v>
      </c>
      <c r="O34" s="10">
        <v>99</v>
      </c>
      <c r="P34" s="10">
        <v>1</v>
      </c>
      <c r="Q34" s="10" t="s">
        <v>122</v>
      </c>
      <c r="R34" s="10" t="s">
        <v>1419</v>
      </c>
      <c r="S34" s="51"/>
      <c r="T34" s="51"/>
      <c r="U34" s="14" t="s">
        <v>1402</v>
      </c>
    </row>
    <row r="35" spans="1:21" ht="15" x14ac:dyDescent="0.35">
      <c r="A35" s="9">
        <v>38</v>
      </c>
      <c r="B35" s="49"/>
      <c r="C35" s="49" t="s">
        <v>75</v>
      </c>
      <c r="D35" s="49" t="s">
        <v>75</v>
      </c>
      <c r="E35" s="10" t="s">
        <v>112</v>
      </c>
      <c r="F35" s="10" t="s">
        <v>77</v>
      </c>
      <c r="I35" s="10" t="s">
        <v>11</v>
      </c>
      <c r="J35" s="10" t="s">
        <v>123</v>
      </c>
      <c r="K35" s="10">
        <v>1960</v>
      </c>
      <c r="L35" s="10">
        <v>1204</v>
      </c>
      <c r="M35" s="10">
        <v>1615</v>
      </c>
      <c r="O35" s="10">
        <v>94</v>
      </c>
      <c r="P35" s="10">
        <v>1</v>
      </c>
      <c r="Q35" s="10" t="s">
        <v>124</v>
      </c>
      <c r="R35" s="10" t="s">
        <v>1420</v>
      </c>
      <c r="S35" s="51"/>
      <c r="T35" s="51"/>
      <c r="U35" s="14" t="s">
        <v>1402</v>
      </c>
    </row>
    <row r="36" spans="1:21" ht="15" x14ac:dyDescent="0.35">
      <c r="A36" s="9">
        <v>39</v>
      </c>
      <c r="B36" s="49"/>
      <c r="C36" s="49" t="s">
        <v>75</v>
      </c>
      <c r="D36" s="49" t="s">
        <v>75</v>
      </c>
      <c r="E36" s="10" t="s">
        <v>112</v>
      </c>
      <c r="F36" s="10" t="s">
        <v>77</v>
      </c>
      <c r="I36" s="10" t="s">
        <v>94</v>
      </c>
      <c r="J36" s="10" t="s">
        <v>125</v>
      </c>
      <c r="K36" s="10">
        <v>2000</v>
      </c>
      <c r="L36" s="10">
        <v>1644</v>
      </c>
      <c r="M36" s="10">
        <v>1615</v>
      </c>
      <c r="O36" s="10">
        <v>103</v>
      </c>
      <c r="P36" s="10">
        <v>1</v>
      </c>
      <c r="Q36" s="10" t="s">
        <v>126</v>
      </c>
      <c r="R36" s="10" t="s">
        <v>1421</v>
      </c>
      <c r="S36" s="51"/>
      <c r="T36" s="51"/>
      <c r="U36" s="14" t="s">
        <v>1402</v>
      </c>
    </row>
    <row r="37" spans="1:21" ht="15" x14ac:dyDescent="0.35">
      <c r="A37" s="9">
        <v>40</v>
      </c>
      <c r="B37" s="49"/>
      <c r="C37" s="49" t="s">
        <v>75</v>
      </c>
      <c r="D37" s="49" t="s">
        <v>75</v>
      </c>
      <c r="E37" s="10" t="s">
        <v>112</v>
      </c>
      <c r="F37" s="10" t="s">
        <v>77</v>
      </c>
      <c r="I37" s="10" t="s">
        <v>94</v>
      </c>
      <c r="J37" s="10" t="s">
        <v>103</v>
      </c>
      <c r="K37" s="10">
        <v>2100</v>
      </c>
      <c r="L37" s="10">
        <v>1644</v>
      </c>
      <c r="M37" s="10">
        <v>1615</v>
      </c>
      <c r="O37" s="10">
        <v>106</v>
      </c>
      <c r="P37" s="10">
        <v>1</v>
      </c>
      <c r="Q37" s="10" t="s">
        <v>127</v>
      </c>
      <c r="R37" s="10" t="s">
        <v>1422</v>
      </c>
      <c r="S37" s="51"/>
      <c r="T37" s="51"/>
      <c r="U37" s="14" t="s">
        <v>1402</v>
      </c>
    </row>
    <row r="38" spans="1:21" ht="15" x14ac:dyDescent="0.35">
      <c r="A38" s="9">
        <v>41</v>
      </c>
      <c r="B38" s="10" t="s">
        <v>128</v>
      </c>
      <c r="C38" s="10" t="s">
        <v>108</v>
      </c>
      <c r="D38" s="10" t="s">
        <v>75</v>
      </c>
      <c r="E38" s="10" t="s">
        <v>29</v>
      </c>
      <c r="F38" s="10" t="s">
        <v>41</v>
      </c>
      <c r="G38" s="10">
        <v>500</v>
      </c>
      <c r="H38" s="10">
        <v>750</v>
      </c>
      <c r="I38" s="10" t="s">
        <v>17</v>
      </c>
      <c r="J38" s="10" t="s">
        <v>129</v>
      </c>
      <c r="K38" s="10">
        <v>2080</v>
      </c>
      <c r="L38" s="10">
        <v>1294</v>
      </c>
      <c r="M38" s="10">
        <v>1615</v>
      </c>
      <c r="N38" s="10">
        <v>4.3499999999999996</v>
      </c>
      <c r="O38" s="10">
        <v>99</v>
      </c>
      <c r="P38" s="10">
        <v>1</v>
      </c>
      <c r="Q38" s="10" t="s">
        <v>130</v>
      </c>
      <c r="R38" s="10" t="s">
        <v>111</v>
      </c>
      <c r="S38" s="10">
        <v>4139</v>
      </c>
      <c r="T38" s="10">
        <v>4040</v>
      </c>
      <c r="U38" s="14" t="s">
        <v>1402</v>
      </c>
    </row>
    <row r="39" spans="1:21" ht="15" x14ac:dyDescent="0.35">
      <c r="A39" s="9">
        <v>42</v>
      </c>
      <c r="B39" s="49"/>
      <c r="C39" s="49" t="s">
        <v>75</v>
      </c>
      <c r="D39" s="49" t="s">
        <v>75</v>
      </c>
      <c r="E39" s="10" t="s">
        <v>131</v>
      </c>
      <c r="F39" s="10" t="s">
        <v>90</v>
      </c>
      <c r="I39" s="10" t="s">
        <v>11</v>
      </c>
      <c r="J39" s="10" t="s">
        <v>132</v>
      </c>
      <c r="K39" s="10">
        <v>2300</v>
      </c>
      <c r="L39" s="10">
        <v>1294</v>
      </c>
      <c r="M39" s="10">
        <v>1765</v>
      </c>
      <c r="O39" s="10">
        <v>95</v>
      </c>
      <c r="P39" s="10">
        <v>1</v>
      </c>
      <c r="Q39" s="10" t="s">
        <v>133</v>
      </c>
      <c r="R39" s="10" t="s">
        <v>1423</v>
      </c>
      <c r="S39" s="50"/>
      <c r="T39" s="51"/>
      <c r="U39" s="14" t="s">
        <v>1402</v>
      </c>
    </row>
    <row r="40" spans="1:21" ht="15" x14ac:dyDescent="0.35">
      <c r="A40" s="9">
        <v>43</v>
      </c>
      <c r="B40" s="49"/>
      <c r="C40" s="49" t="s">
        <v>75</v>
      </c>
      <c r="D40" s="49" t="s">
        <v>75</v>
      </c>
      <c r="E40" s="10" t="s">
        <v>131</v>
      </c>
      <c r="F40" s="10" t="s">
        <v>90</v>
      </c>
      <c r="I40" s="10" t="s">
        <v>11</v>
      </c>
      <c r="J40" s="10" t="s">
        <v>132</v>
      </c>
      <c r="K40" s="10">
        <v>2300</v>
      </c>
      <c r="L40" s="10">
        <v>1294</v>
      </c>
      <c r="M40" s="10">
        <v>1765</v>
      </c>
      <c r="O40" s="10">
        <v>98</v>
      </c>
      <c r="P40" s="10">
        <v>1</v>
      </c>
      <c r="Q40" s="10" t="s">
        <v>134</v>
      </c>
      <c r="R40" s="10" t="s">
        <v>1424</v>
      </c>
      <c r="S40" s="50"/>
      <c r="T40" s="51"/>
      <c r="U40" s="14" t="s">
        <v>1402</v>
      </c>
    </row>
    <row r="41" spans="1:21" ht="15" x14ac:dyDescent="0.35">
      <c r="A41" s="9">
        <v>44</v>
      </c>
      <c r="B41" s="49"/>
      <c r="C41" s="49" t="s">
        <v>75</v>
      </c>
      <c r="D41" s="49" t="s">
        <v>75</v>
      </c>
      <c r="E41" s="10" t="s">
        <v>131</v>
      </c>
      <c r="F41" s="10" t="s">
        <v>90</v>
      </c>
      <c r="I41" s="10" t="s">
        <v>94</v>
      </c>
      <c r="J41" s="10" t="s">
        <v>132</v>
      </c>
      <c r="K41" s="10">
        <v>2300</v>
      </c>
      <c r="L41" s="10">
        <v>1294</v>
      </c>
      <c r="M41" s="10">
        <v>1765</v>
      </c>
      <c r="O41" s="10">
        <v>99</v>
      </c>
      <c r="P41" s="10">
        <v>1</v>
      </c>
      <c r="Q41" s="10" t="s">
        <v>135</v>
      </c>
      <c r="R41" s="10" t="s">
        <v>1425</v>
      </c>
      <c r="S41" s="50"/>
      <c r="T41" s="51"/>
      <c r="U41" s="14" t="s">
        <v>1402</v>
      </c>
    </row>
    <row r="42" spans="1:21" ht="15" x14ac:dyDescent="0.35">
      <c r="A42" s="9">
        <v>45</v>
      </c>
      <c r="B42" s="10" t="s">
        <v>136</v>
      </c>
      <c r="C42" s="10" t="s">
        <v>108</v>
      </c>
      <c r="D42" s="10" t="s">
        <v>75</v>
      </c>
      <c r="E42" s="10" t="s">
        <v>131</v>
      </c>
      <c r="F42" s="10" t="s">
        <v>41</v>
      </c>
      <c r="G42" s="10">
        <v>500</v>
      </c>
      <c r="H42" s="10">
        <v>750</v>
      </c>
      <c r="I42" s="10" t="s">
        <v>17</v>
      </c>
      <c r="J42" s="10" t="s">
        <v>137</v>
      </c>
      <c r="K42" s="10">
        <v>1980</v>
      </c>
      <c r="L42" s="10">
        <v>1294</v>
      </c>
      <c r="M42" s="10">
        <v>1615</v>
      </c>
      <c r="N42" s="10">
        <v>4.1399999999999997</v>
      </c>
      <c r="O42" s="10">
        <v>99</v>
      </c>
      <c r="P42" s="10">
        <v>1</v>
      </c>
      <c r="Q42" s="10" t="s">
        <v>138</v>
      </c>
      <c r="R42" s="10" t="s">
        <v>111</v>
      </c>
      <c r="S42" s="10">
        <v>3745</v>
      </c>
      <c r="T42" s="10">
        <v>3745</v>
      </c>
      <c r="U42" s="14" t="s">
        <v>1402</v>
      </c>
    </row>
    <row r="43" spans="1:21" ht="15" x14ac:dyDescent="0.35">
      <c r="A43" s="9">
        <v>46</v>
      </c>
      <c r="B43" s="49"/>
      <c r="C43" s="49" t="s">
        <v>75</v>
      </c>
      <c r="D43" s="49" t="s">
        <v>75</v>
      </c>
      <c r="E43" s="10" t="s">
        <v>131</v>
      </c>
      <c r="F43" s="10" t="s">
        <v>77</v>
      </c>
      <c r="I43" s="10" t="s">
        <v>11</v>
      </c>
      <c r="J43" s="10" t="s">
        <v>132</v>
      </c>
      <c r="K43" s="10">
        <v>2300</v>
      </c>
      <c r="L43" s="10">
        <v>1294</v>
      </c>
      <c r="M43" s="10">
        <v>1765</v>
      </c>
      <c r="N43" s="10">
        <v>5.25</v>
      </c>
      <c r="O43" s="10">
        <v>143</v>
      </c>
      <c r="P43" s="10">
        <v>1</v>
      </c>
      <c r="Q43" s="10" t="s">
        <v>139</v>
      </c>
      <c r="R43" s="10" t="s">
        <v>1426</v>
      </c>
      <c r="S43" s="51"/>
      <c r="T43" s="51"/>
      <c r="U43" s="14" t="s">
        <v>1402</v>
      </c>
    </row>
    <row r="44" spans="1:21" ht="15" x14ac:dyDescent="0.35">
      <c r="A44" s="9">
        <v>47</v>
      </c>
      <c r="B44" s="49"/>
      <c r="C44" s="49" t="s">
        <v>75</v>
      </c>
      <c r="D44" s="49" t="s">
        <v>75</v>
      </c>
      <c r="E44" s="10" t="s">
        <v>131</v>
      </c>
      <c r="F44" s="10" t="s">
        <v>77</v>
      </c>
      <c r="I44" s="10" t="s">
        <v>11</v>
      </c>
      <c r="J44" s="10" t="s">
        <v>132</v>
      </c>
      <c r="K44" s="10">
        <v>2300</v>
      </c>
      <c r="L44" s="10">
        <v>1294</v>
      </c>
      <c r="M44" s="10">
        <v>1765</v>
      </c>
      <c r="O44" s="10">
        <v>96</v>
      </c>
      <c r="P44" s="10">
        <v>1</v>
      </c>
      <c r="Q44" s="10" t="s">
        <v>140</v>
      </c>
      <c r="R44" s="10" t="s">
        <v>1427</v>
      </c>
      <c r="S44" s="51"/>
      <c r="T44" s="51"/>
      <c r="U44" s="14" t="s">
        <v>1402</v>
      </c>
    </row>
    <row r="45" spans="1:21" ht="15" x14ac:dyDescent="0.35">
      <c r="A45" s="9">
        <v>48</v>
      </c>
      <c r="B45" s="49"/>
      <c r="C45" s="49" t="s">
        <v>75</v>
      </c>
      <c r="D45" s="49" t="s">
        <v>75</v>
      </c>
      <c r="E45" s="10" t="s">
        <v>131</v>
      </c>
      <c r="F45" s="10" t="s">
        <v>77</v>
      </c>
      <c r="I45" s="10" t="s">
        <v>94</v>
      </c>
      <c r="J45" s="10" t="s">
        <v>132</v>
      </c>
      <c r="K45" s="10">
        <v>2300</v>
      </c>
      <c r="L45" s="10">
        <v>1294</v>
      </c>
      <c r="M45" s="10">
        <v>1765</v>
      </c>
      <c r="O45" s="10">
        <v>100</v>
      </c>
      <c r="P45" s="10">
        <v>1</v>
      </c>
      <c r="Q45" s="10" t="s">
        <v>141</v>
      </c>
      <c r="R45" s="10" t="s">
        <v>1428</v>
      </c>
      <c r="S45" s="51"/>
      <c r="T45" s="51"/>
      <c r="U45" s="14" t="s">
        <v>1402</v>
      </c>
    </row>
    <row r="46" spans="1:21" ht="15" x14ac:dyDescent="0.35">
      <c r="A46" s="9">
        <v>49</v>
      </c>
      <c r="B46" s="49"/>
      <c r="C46" s="49" t="s">
        <v>75</v>
      </c>
      <c r="D46" s="49" t="s">
        <v>75</v>
      </c>
      <c r="E46" s="10" t="s">
        <v>131</v>
      </c>
      <c r="F46" s="10" t="s">
        <v>77</v>
      </c>
      <c r="I46" s="10" t="s">
        <v>94</v>
      </c>
      <c r="J46" s="10" t="s">
        <v>132</v>
      </c>
      <c r="K46" s="10">
        <v>2300</v>
      </c>
      <c r="L46" s="10">
        <v>1294</v>
      </c>
      <c r="M46" s="10">
        <v>1765</v>
      </c>
      <c r="O46" s="10">
        <v>103</v>
      </c>
      <c r="P46" s="10">
        <v>1</v>
      </c>
      <c r="Q46" s="10" t="s">
        <v>142</v>
      </c>
      <c r="R46" s="10" t="s">
        <v>1429</v>
      </c>
      <c r="S46" s="51"/>
      <c r="T46" s="51"/>
      <c r="U46" s="14" t="s">
        <v>1402</v>
      </c>
    </row>
    <row r="47" spans="1:21" ht="13.5" customHeight="1" x14ac:dyDescent="0.35">
      <c r="A47" s="9">
        <v>50</v>
      </c>
      <c r="B47" s="49"/>
      <c r="C47" s="49" t="s">
        <v>75</v>
      </c>
      <c r="D47" s="49" t="s">
        <v>75</v>
      </c>
      <c r="E47" s="10" t="s">
        <v>143</v>
      </c>
      <c r="F47" s="10" t="s">
        <v>90</v>
      </c>
      <c r="I47" s="10" t="s">
        <v>11</v>
      </c>
      <c r="J47" s="10" t="s">
        <v>144</v>
      </c>
      <c r="K47" s="10">
        <v>2280</v>
      </c>
      <c r="L47" s="10">
        <v>1294</v>
      </c>
      <c r="M47" s="10">
        <v>1770</v>
      </c>
      <c r="O47" s="10">
        <v>104</v>
      </c>
      <c r="P47" s="10">
        <v>1</v>
      </c>
      <c r="Q47" s="10" t="s">
        <v>145</v>
      </c>
      <c r="R47" s="10" t="s">
        <v>1430</v>
      </c>
      <c r="S47" s="51"/>
      <c r="T47" s="51"/>
      <c r="U47" s="14" t="s">
        <v>1402</v>
      </c>
    </row>
    <row r="48" spans="1:21" ht="15" x14ac:dyDescent="0.35">
      <c r="A48" s="9">
        <v>51</v>
      </c>
      <c r="B48" s="49"/>
      <c r="C48" s="49" t="s">
        <v>75</v>
      </c>
      <c r="D48" s="49" t="s">
        <v>75</v>
      </c>
      <c r="E48" s="10" t="s">
        <v>143</v>
      </c>
      <c r="F48" s="10" t="s">
        <v>90</v>
      </c>
      <c r="I48" s="10" t="s">
        <v>11</v>
      </c>
      <c r="J48" s="10" t="s">
        <v>146</v>
      </c>
      <c r="K48" s="10">
        <v>2440</v>
      </c>
      <c r="L48" s="10">
        <v>1294</v>
      </c>
      <c r="M48" s="10">
        <v>1770</v>
      </c>
      <c r="O48" s="10">
        <v>107</v>
      </c>
      <c r="P48" s="10">
        <v>1</v>
      </c>
      <c r="Q48" s="10" t="s">
        <v>147</v>
      </c>
      <c r="R48" s="10" t="s">
        <v>1431</v>
      </c>
      <c r="S48" s="51"/>
      <c r="T48" s="51"/>
      <c r="U48" s="14" t="s">
        <v>1402</v>
      </c>
    </row>
    <row r="49" spans="1:21" ht="15" x14ac:dyDescent="0.35">
      <c r="A49" s="9">
        <v>52</v>
      </c>
      <c r="B49" s="49"/>
      <c r="C49" s="49" t="s">
        <v>75</v>
      </c>
      <c r="D49" s="49" t="s">
        <v>75</v>
      </c>
      <c r="E49" s="10" t="s">
        <v>143</v>
      </c>
      <c r="F49" s="10" t="s">
        <v>90</v>
      </c>
      <c r="I49" s="10" t="s">
        <v>94</v>
      </c>
      <c r="J49" s="10" t="s">
        <v>148</v>
      </c>
      <c r="K49" s="10">
        <v>2470</v>
      </c>
      <c r="L49" s="10">
        <v>1494</v>
      </c>
      <c r="M49" s="10">
        <v>1770</v>
      </c>
      <c r="O49" s="10">
        <v>118</v>
      </c>
      <c r="P49" s="10">
        <v>1</v>
      </c>
      <c r="Q49" s="10" t="s">
        <v>149</v>
      </c>
      <c r="R49" s="10" t="s">
        <v>1432</v>
      </c>
      <c r="S49" s="51"/>
      <c r="T49" s="51"/>
      <c r="U49" s="14" t="s">
        <v>1402</v>
      </c>
    </row>
    <row r="50" spans="1:21" ht="15" x14ac:dyDescent="0.35">
      <c r="A50" s="9">
        <v>53</v>
      </c>
      <c r="B50" s="49"/>
      <c r="C50" s="49" t="s">
        <v>75</v>
      </c>
      <c r="D50" s="49" t="s">
        <v>75</v>
      </c>
      <c r="E50" s="10" t="s">
        <v>143</v>
      </c>
      <c r="F50" s="10" t="s">
        <v>77</v>
      </c>
      <c r="I50" s="10" t="s">
        <v>11</v>
      </c>
      <c r="J50" s="10" t="s">
        <v>150</v>
      </c>
      <c r="K50" s="10">
        <v>2160</v>
      </c>
      <c r="L50" s="10">
        <v>1294</v>
      </c>
      <c r="M50" s="10">
        <v>1770</v>
      </c>
      <c r="O50" s="10">
        <v>102</v>
      </c>
      <c r="P50" s="10">
        <v>1</v>
      </c>
      <c r="Q50" s="10" t="s">
        <v>151</v>
      </c>
      <c r="R50" s="10" t="s">
        <v>1433</v>
      </c>
      <c r="S50" s="51"/>
      <c r="T50" s="51"/>
      <c r="U50" s="14" t="s">
        <v>1402</v>
      </c>
    </row>
    <row r="51" spans="1:21" ht="15" x14ac:dyDescent="0.35">
      <c r="A51" s="9">
        <v>54</v>
      </c>
      <c r="B51" s="49"/>
      <c r="C51" s="49" t="s">
        <v>75</v>
      </c>
      <c r="D51" s="49" t="s">
        <v>75</v>
      </c>
      <c r="E51" s="10" t="s">
        <v>143</v>
      </c>
      <c r="F51" s="10" t="s">
        <v>77</v>
      </c>
      <c r="I51" s="10" t="s">
        <v>11</v>
      </c>
      <c r="J51" s="10" t="s">
        <v>144</v>
      </c>
      <c r="K51" s="10">
        <v>2280</v>
      </c>
      <c r="L51" s="10">
        <v>1294</v>
      </c>
      <c r="M51" s="10">
        <v>1770</v>
      </c>
      <c r="O51" s="10">
        <v>105</v>
      </c>
      <c r="P51" s="10">
        <v>1</v>
      </c>
      <c r="Q51" s="10" t="s">
        <v>152</v>
      </c>
      <c r="R51" s="10" t="s">
        <v>1434</v>
      </c>
      <c r="S51" s="51"/>
      <c r="T51" s="51"/>
      <c r="U51" s="14" t="s">
        <v>1402</v>
      </c>
    </row>
    <row r="52" spans="1:21" ht="15" x14ac:dyDescent="0.35">
      <c r="A52" s="9">
        <v>55</v>
      </c>
      <c r="B52" s="49"/>
      <c r="C52" s="49" t="s">
        <v>75</v>
      </c>
      <c r="D52" s="49" t="s">
        <v>75</v>
      </c>
      <c r="E52" s="10" t="s">
        <v>143</v>
      </c>
      <c r="F52" s="10" t="s">
        <v>77</v>
      </c>
      <c r="I52" s="10" t="s">
        <v>94</v>
      </c>
      <c r="J52" s="10" t="s">
        <v>153</v>
      </c>
      <c r="K52" s="10">
        <v>2200</v>
      </c>
      <c r="L52" s="10">
        <v>1644</v>
      </c>
      <c r="M52" s="10">
        <v>1770</v>
      </c>
      <c r="O52" s="10">
        <v>109</v>
      </c>
      <c r="P52" s="10">
        <v>1</v>
      </c>
      <c r="Q52" s="10" t="s">
        <v>154</v>
      </c>
      <c r="R52" s="10" t="s">
        <v>1435</v>
      </c>
      <c r="S52" s="51"/>
      <c r="T52" s="51"/>
      <c r="U52" s="14" t="s">
        <v>1402</v>
      </c>
    </row>
    <row r="53" spans="1:21" ht="15" x14ac:dyDescent="0.35">
      <c r="A53" s="9">
        <v>56</v>
      </c>
      <c r="B53" s="49"/>
      <c r="C53" s="49" t="s">
        <v>75</v>
      </c>
      <c r="D53" s="49" t="s">
        <v>75</v>
      </c>
      <c r="E53" s="10" t="s">
        <v>143</v>
      </c>
      <c r="F53" s="10" t="s">
        <v>77</v>
      </c>
      <c r="I53" s="10" t="s">
        <v>94</v>
      </c>
      <c r="J53" s="10" t="s">
        <v>155</v>
      </c>
      <c r="K53" s="10">
        <v>2300</v>
      </c>
      <c r="L53" s="10">
        <v>1644</v>
      </c>
      <c r="M53" s="10">
        <v>1770</v>
      </c>
      <c r="O53" s="10">
        <v>112</v>
      </c>
      <c r="P53" s="10">
        <v>1</v>
      </c>
      <c r="Q53" s="10" t="s">
        <v>156</v>
      </c>
      <c r="R53" s="10" t="s">
        <v>1436</v>
      </c>
      <c r="S53" s="51"/>
      <c r="T53" s="51"/>
      <c r="U53" s="14" t="s">
        <v>1402</v>
      </c>
    </row>
    <row r="54" spans="1:21" ht="15" x14ac:dyDescent="0.35">
      <c r="A54" s="9">
        <v>57</v>
      </c>
      <c r="B54" s="49"/>
      <c r="C54" s="49" t="s">
        <v>157</v>
      </c>
      <c r="D54" s="49" t="s">
        <v>75</v>
      </c>
      <c r="E54" s="10" t="s">
        <v>89</v>
      </c>
      <c r="F54" s="10" t="s">
        <v>90</v>
      </c>
      <c r="G54" s="10">
        <v>750</v>
      </c>
      <c r="I54" s="10" t="s">
        <v>11</v>
      </c>
      <c r="J54" s="10" t="s">
        <v>158</v>
      </c>
      <c r="K54" s="10">
        <v>2260</v>
      </c>
      <c r="L54" s="10">
        <v>1494</v>
      </c>
      <c r="M54" s="10">
        <v>1770</v>
      </c>
      <c r="O54" s="10">
        <v>112</v>
      </c>
      <c r="P54" s="10">
        <v>1</v>
      </c>
      <c r="Q54" s="10" t="s">
        <v>159</v>
      </c>
      <c r="R54" s="10" t="s">
        <v>1437</v>
      </c>
      <c r="S54" s="10">
        <v>3942</v>
      </c>
      <c r="T54" s="14">
        <f>S54-O54</f>
        <v>3830</v>
      </c>
      <c r="U54" s="14" t="s">
        <v>1402</v>
      </c>
    </row>
    <row r="55" spans="1:21" ht="15" x14ac:dyDescent="0.35">
      <c r="A55" s="9">
        <v>58</v>
      </c>
      <c r="B55" s="49"/>
      <c r="C55" s="49" t="s">
        <v>157</v>
      </c>
      <c r="D55" s="49" t="s">
        <v>75</v>
      </c>
      <c r="E55" s="10" t="s">
        <v>112</v>
      </c>
      <c r="F55" s="10" t="s">
        <v>90</v>
      </c>
      <c r="G55" s="10">
        <v>750</v>
      </c>
      <c r="I55" s="10" t="s">
        <v>11</v>
      </c>
      <c r="J55" s="10" t="s">
        <v>160</v>
      </c>
      <c r="K55" s="10">
        <v>2160</v>
      </c>
      <c r="L55" s="10">
        <v>1494</v>
      </c>
      <c r="M55" s="10">
        <v>1770</v>
      </c>
      <c r="O55" s="10">
        <v>99</v>
      </c>
      <c r="P55" s="10">
        <v>1</v>
      </c>
      <c r="Q55" s="10" t="s">
        <v>161</v>
      </c>
      <c r="R55" s="10" t="s">
        <v>1438</v>
      </c>
      <c r="S55" s="10">
        <v>3942</v>
      </c>
      <c r="T55" s="14">
        <f>S55-O55</f>
        <v>3843</v>
      </c>
      <c r="U55" s="14" t="s">
        <v>1402</v>
      </c>
    </row>
    <row r="56" spans="1:21" ht="15" x14ac:dyDescent="0.35">
      <c r="A56" s="9">
        <v>59</v>
      </c>
      <c r="B56" s="49"/>
      <c r="C56" s="49" t="s">
        <v>157</v>
      </c>
      <c r="D56" s="49" t="s">
        <v>75</v>
      </c>
      <c r="E56" s="10" t="s">
        <v>131</v>
      </c>
      <c r="F56" s="10" t="s">
        <v>90</v>
      </c>
      <c r="G56" s="10">
        <v>750</v>
      </c>
      <c r="I56" s="10" t="s">
        <v>11</v>
      </c>
      <c r="J56" s="10" t="s">
        <v>162</v>
      </c>
      <c r="K56" s="10">
        <v>2060</v>
      </c>
      <c r="L56" s="10">
        <v>1494</v>
      </c>
      <c r="M56" s="10">
        <v>1770</v>
      </c>
      <c r="O56" s="10">
        <v>96</v>
      </c>
      <c r="P56" s="10">
        <v>1</v>
      </c>
      <c r="Q56" s="10" t="s">
        <v>163</v>
      </c>
      <c r="R56" s="10" t="s">
        <v>1439</v>
      </c>
      <c r="S56" s="10">
        <v>3942</v>
      </c>
      <c r="T56" s="14">
        <f>S56-O56</f>
        <v>3846</v>
      </c>
      <c r="U56" s="14" t="s">
        <v>1402</v>
      </c>
    </row>
    <row r="57" spans="1:21" ht="15" x14ac:dyDescent="0.35">
      <c r="A57" s="9">
        <v>60</v>
      </c>
      <c r="B57" s="10" t="s">
        <v>164</v>
      </c>
      <c r="C57" s="10" t="s">
        <v>165</v>
      </c>
      <c r="D57" s="10" t="s">
        <v>75</v>
      </c>
      <c r="E57" s="10" t="s">
        <v>166</v>
      </c>
      <c r="F57" s="10" t="s">
        <v>16</v>
      </c>
      <c r="G57" s="10">
        <v>350</v>
      </c>
      <c r="H57" s="10">
        <v>1000</v>
      </c>
      <c r="I57" s="10" t="s">
        <v>24</v>
      </c>
      <c r="J57" s="10" t="s">
        <v>167</v>
      </c>
      <c r="K57" s="10">
        <v>2060</v>
      </c>
      <c r="L57" s="10">
        <v>1524</v>
      </c>
      <c r="M57" s="10">
        <v>1665</v>
      </c>
      <c r="N57" s="10">
        <v>5.23</v>
      </c>
      <c r="O57" s="10">
        <v>137</v>
      </c>
      <c r="P57" s="10">
        <v>1</v>
      </c>
      <c r="Q57" s="10" t="s">
        <v>168</v>
      </c>
      <c r="R57" s="10" t="s">
        <v>169</v>
      </c>
      <c r="S57" s="10">
        <v>3942</v>
      </c>
      <c r="T57" s="10">
        <v>3805</v>
      </c>
      <c r="U57" s="14" t="s">
        <v>1402</v>
      </c>
    </row>
    <row r="58" spans="1:21" ht="15" x14ac:dyDescent="0.35">
      <c r="A58" s="9">
        <v>61</v>
      </c>
      <c r="B58" s="49"/>
      <c r="C58" s="49" t="s">
        <v>157</v>
      </c>
      <c r="D58" s="49" t="s">
        <v>75</v>
      </c>
      <c r="E58" s="10" t="s">
        <v>143</v>
      </c>
      <c r="F58" s="10" t="s">
        <v>90</v>
      </c>
      <c r="G58" s="10">
        <v>750</v>
      </c>
      <c r="I58" s="10" t="s">
        <v>11</v>
      </c>
      <c r="J58" s="10" t="s">
        <v>170</v>
      </c>
      <c r="K58" s="10">
        <v>2360</v>
      </c>
      <c r="L58" s="10">
        <v>1494</v>
      </c>
      <c r="M58" s="10">
        <v>1665</v>
      </c>
      <c r="O58" s="10">
        <v>115</v>
      </c>
      <c r="P58" s="10">
        <v>1</v>
      </c>
      <c r="Q58" s="10" t="s">
        <v>171</v>
      </c>
      <c r="R58" s="10" t="s">
        <v>1440</v>
      </c>
      <c r="S58" s="10">
        <v>5187</v>
      </c>
      <c r="T58" s="14">
        <f>S58-O58</f>
        <v>5072</v>
      </c>
      <c r="U58" s="14" t="s">
        <v>1402</v>
      </c>
    </row>
    <row r="59" spans="1:21" ht="15" x14ac:dyDescent="0.35">
      <c r="A59" s="9">
        <v>62</v>
      </c>
      <c r="B59" s="10" t="s">
        <v>172</v>
      </c>
      <c r="C59" s="10" t="s">
        <v>165</v>
      </c>
      <c r="D59" s="10" t="s">
        <v>75</v>
      </c>
      <c r="E59" s="10" t="s">
        <v>173</v>
      </c>
      <c r="F59" s="10" t="s">
        <v>41</v>
      </c>
      <c r="G59" s="10">
        <v>500</v>
      </c>
      <c r="H59" s="10">
        <v>750</v>
      </c>
      <c r="I59" s="10" t="s">
        <v>17</v>
      </c>
      <c r="J59" s="10" t="s">
        <v>174</v>
      </c>
      <c r="K59" s="10">
        <v>2580</v>
      </c>
      <c r="L59" s="10">
        <v>1644</v>
      </c>
      <c r="M59" s="10">
        <v>1670</v>
      </c>
      <c r="N59" s="10">
        <v>7.08</v>
      </c>
      <c r="O59" s="10">
        <v>142</v>
      </c>
      <c r="P59" s="10">
        <v>1</v>
      </c>
      <c r="Q59" s="10" t="s">
        <v>175</v>
      </c>
      <c r="R59" s="10" t="s">
        <v>176</v>
      </c>
      <c r="S59" s="10">
        <v>5187</v>
      </c>
      <c r="T59" s="10">
        <v>5045</v>
      </c>
      <c r="U59" s="14" t="s">
        <v>1402</v>
      </c>
    </row>
    <row r="60" spans="1:21" ht="15" x14ac:dyDescent="0.35">
      <c r="A60" s="9">
        <v>63</v>
      </c>
      <c r="B60" s="10" t="s">
        <v>177</v>
      </c>
      <c r="C60" s="10" t="s">
        <v>178</v>
      </c>
      <c r="D60" s="10" t="s">
        <v>179</v>
      </c>
      <c r="E60" s="10" t="s">
        <v>180</v>
      </c>
      <c r="F60" s="10" t="s">
        <v>16</v>
      </c>
      <c r="G60" s="10">
        <v>500</v>
      </c>
      <c r="H60" s="10">
        <v>750</v>
      </c>
      <c r="I60" s="10" t="s">
        <v>17</v>
      </c>
      <c r="J60" s="10" t="s">
        <v>181</v>
      </c>
      <c r="K60" s="10">
        <v>2240</v>
      </c>
      <c r="L60" s="10">
        <v>1644</v>
      </c>
      <c r="M60" s="10">
        <v>1675</v>
      </c>
      <c r="N60" s="10">
        <v>6.17</v>
      </c>
      <c r="O60" s="10">
        <v>132</v>
      </c>
      <c r="P60" s="10">
        <v>1</v>
      </c>
      <c r="Q60" s="10" t="s">
        <v>182</v>
      </c>
      <c r="R60" s="10" t="s">
        <v>183</v>
      </c>
      <c r="S60" s="10">
        <v>4487</v>
      </c>
      <c r="T60" s="10">
        <v>4355</v>
      </c>
      <c r="U60" s="14" t="s">
        <v>1402</v>
      </c>
    </row>
    <row r="61" spans="1:21" ht="15" x14ac:dyDescent="0.35">
      <c r="A61" s="9">
        <v>64</v>
      </c>
      <c r="B61" s="10" t="s">
        <v>184</v>
      </c>
      <c r="C61" s="10" t="s">
        <v>178</v>
      </c>
      <c r="D61" s="10" t="s">
        <v>179</v>
      </c>
      <c r="E61" s="10" t="s">
        <v>180</v>
      </c>
      <c r="F61" s="10" t="s">
        <v>41</v>
      </c>
      <c r="G61" s="10">
        <v>500</v>
      </c>
      <c r="H61" s="10">
        <v>750</v>
      </c>
      <c r="I61" s="10" t="s">
        <v>17</v>
      </c>
      <c r="J61" s="10" t="s">
        <v>185</v>
      </c>
      <c r="K61" s="10">
        <v>2180</v>
      </c>
      <c r="L61" s="10">
        <v>1644</v>
      </c>
      <c r="M61" s="10">
        <v>1670</v>
      </c>
      <c r="N61" s="10">
        <v>5.99</v>
      </c>
      <c r="O61" s="10">
        <v>130</v>
      </c>
      <c r="P61" s="10">
        <v>1</v>
      </c>
      <c r="Q61" s="10" t="s">
        <v>186</v>
      </c>
      <c r="R61" s="10" t="s">
        <v>187</v>
      </c>
      <c r="S61" s="10">
        <v>3830</v>
      </c>
      <c r="T61" s="10">
        <v>3700</v>
      </c>
      <c r="U61" s="14" t="s">
        <v>1402</v>
      </c>
    </row>
    <row r="62" spans="1:21" ht="15" x14ac:dyDescent="0.35">
      <c r="A62" s="9">
        <v>65</v>
      </c>
      <c r="B62" s="10" t="s">
        <v>188</v>
      </c>
      <c r="C62" s="10" t="s">
        <v>178</v>
      </c>
      <c r="D62" s="10" t="s">
        <v>179</v>
      </c>
      <c r="E62" s="10" t="s">
        <v>189</v>
      </c>
      <c r="F62" s="10" t="s">
        <v>41</v>
      </c>
      <c r="G62" s="10">
        <v>310</v>
      </c>
      <c r="H62" s="10">
        <v>1000</v>
      </c>
      <c r="I62" s="10" t="s">
        <v>17</v>
      </c>
      <c r="J62" s="10" t="s">
        <v>190</v>
      </c>
      <c r="K62" s="10">
        <v>2100</v>
      </c>
      <c r="L62" s="10">
        <v>1400</v>
      </c>
      <c r="M62" s="10">
        <v>1675</v>
      </c>
      <c r="N62" s="10">
        <v>4.92</v>
      </c>
      <c r="O62" s="10">
        <v>141</v>
      </c>
      <c r="P62" s="10">
        <v>1</v>
      </c>
      <c r="Q62" s="10" t="s">
        <v>191</v>
      </c>
      <c r="R62" s="10" t="s">
        <v>192</v>
      </c>
      <c r="S62" s="10">
        <v>4341</v>
      </c>
      <c r="T62" s="10">
        <v>4200</v>
      </c>
      <c r="U62" s="14" t="s">
        <v>1402</v>
      </c>
    </row>
    <row r="63" spans="1:21" ht="15" x14ac:dyDescent="0.35">
      <c r="A63" s="9">
        <v>66</v>
      </c>
      <c r="B63" s="10" t="s">
        <v>193</v>
      </c>
      <c r="C63" s="10" t="s">
        <v>178</v>
      </c>
      <c r="D63" s="10" t="s">
        <v>179</v>
      </c>
      <c r="E63" s="10" t="s">
        <v>194</v>
      </c>
      <c r="F63" s="10" t="s">
        <v>16</v>
      </c>
      <c r="G63" s="10">
        <v>310</v>
      </c>
      <c r="H63" s="10">
        <v>860</v>
      </c>
      <c r="I63" s="10" t="s">
        <v>17</v>
      </c>
      <c r="J63" s="10" t="s">
        <v>195</v>
      </c>
      <c r="K63" s="10">
        <v>2300</v>
      </c>
      <c r="L63" s="10">
        <v>1780</v>
      </c>
      <c r="M63" s="10">
        <v>1320</v>
      </c>
      <c r="N63" s="10">
        <v>5.4</v>
      </c>
      <c r="O63" s="10">
        <v>120</v>
      </c>
      <c r="P63" s="10">
        <v>1</v>
      </c>
      <c r="Q63" s="10" t="s">
        <v>196</v>
      </c>
      <c r="R63" s="10" t="s">
        <v>197</v>
      </c>
      <c r="S63" s="10">
        <v>4520</v>
      </c>
      <c r="T63" s="10">
        <v>4400</v>
      </c>
      <c r="U63" s="14" t="s">
        <v>1402</v>
      </c>
    </row>
    <row r="64" spans="1:21" ht="15" x14ac:dyDescent="0.35">
      <c r="A64" s="9">
        <v>67</v>
      </c>
      <c r="B64" s="10" t="s">
        <v>198</v>
      </c>
      <c r="C64" s="10" t="s">
        <v>178</v>
      </c>
      <c r="D64" s="10" t="s">
        <v>179</v>
      </c>
      <c r="E64" s="10" t="s">
        <v>194</v>
      </c>
      <c r="F64" s="10" t="s">
        <v>41</v>
      </c>
      <c r="G64" s="10">
        <v>430</v>
      </c>
      <c r="H64" s="10">
        <v>1210</v>
      </c>
      <c r="I64" s="10" t="s">
        <v>24</v>
      </c>
      <c r="J64" s="10" t="s">
        <v>199</v>
      </c>
      <c r="K64" s="10">
        <v>2775</v>
      </c>
      <c r="L64" s="10">
        <v>2040</v>
      </c>
      <c r="M64" s="10">
        <v>1576</v>
      </c>
      <c r="N64" s="10">
        <v>8.92</v>
      </c>
      <c r="O64" s="10">
        <v>160</v>
      </c>
      <c r="P64" s="10">
        <v>1</v>
      </c>
      <c r="Q64" s="10" t="s">
        <v>200</v>
      </c>
      <c r="R64" s="10" t="s">
        <v>201</v>
      </c>
      <c r="S64" s="10">
        <v>5155</v>
      </c>
      <c r="T64" s="10">
        <v>4995</v>
      </c>
      <c r="U64" s="14" t="s">
        <v>1402</v>
      </c>
    </row>
    <row r="65" spans="1:21" ht="15" x14ac:dyDescent="0.35">
      <c r="A65" s="9">
        <v>68</v>
      </c>
      <c r="B65" s="10" t="s">
        <v>202</v>
      </c>
      <c r="C65" s="10" t="s">
        <v>178</v>
      </c>
      <c r="D65" s="10" t="s">
        <v>179</v>
      </c>
      <c r="E65" s="10" t="s">
        <v>203</v>
      </c>
      <c r="F65" s="10" t="s">
        <v>16</v>
      </c>
      <c r="G65" s="10">
        <v>350</v>
      </c>
      <c r="H65" s="10">
        <v>1105</v>
      </c>
      <c r="I65" s="10" t="s">
        <v>24</v>
      </c>
      <c r="J65" s="10" t="s">
        <v>204</v>
      </c>
      <c r="K65" s="10">
        <v>2450</v>
      </c>
      <c r="L65" s="10">
        <v>2340</v>
      </c>
      <c r="M65" s="10">
        <v>2050</v>
      </c>
      <c r="N65" s="10">
        <v>11.75</v>
      </c>
      <c r="O65" s="10">
        <v>189</v>
      </c>
      <c r="P65" s="10">
        <v>1</v>
      </c>
      <c r="Q65" s="10" t="s">
        <v>205</v>
      </c>
      <c r="R65" s="10" t="s">
        <v>206</v>
      </c>
      <c r="S65" s="10">
        <v>5949</v>
      </c>
      <c r="T65" s="10">
        <v>5760</v>
      </c>
      <c r="U65" s="14" t="s">
        <v>1402</v>
      </c>
    </row>
    <row r="66" spans="1:21" ht="15" x14ac:dyDescent="0.35">
      <c r="A66" s="9">
        <v>69</v>
      </c>
      <c r="B66" s="10" t="s">
        <v>207</v>
      </c>
      <c r="C66" s="10" t="s">
        <v>178</v>
      </c>
      <c r="D66" s="10" t="s">
        <v>179</v>
      </c>
      <c r="E66" s="10" t="s">
        <v>208</v>
      </c>
      <c r="F66" s="10" t="s">
        <v>41</v>
      </c>
      <c r="G66" s="10">
        <v>310</v>
      </c>
      <c r="H66" s="10">
        <v>1000</v>
      </c>
      <c r="I66" s="10" t="s">
        <v>17</v>
      </c>
      <c r="J66" s="10" t="s">
        <v>209</v>
      </c>
      <c r="K66" s="10">
        <v>2000</v>
      </c>
      <c r="L66" s="10">
        <v>1400</v>
      </c>
      <c r="M66" s="10">
        <v>1675</v>
      </c>
      <c r="N66" s="10">
        <v>4.6900000000000004</v>
      </c>
      <c r="O66" s="10">
        <v>130</v>
      </c>
      <c r="P66" s="10">
        <v>1</v>
      </c>
      <c r="Q66" s="10" t="s">
        <v>210</v>
      </c>
      <c r="R66" s="10" t="s">
        <v>192</v>
      </c>
      <c r="S66" s="10">
        <v>3930</v>
      </c>
      <c r="T66" s="10">
        <v>3800</v>
      </c>
      <c r="U66" s="14" t="s">
        <v>1402</v>
      </c>
    </row>
    <row r="67" spans="1:21" ht="15" x14ac:dyDescent="0.35">
      <c r="A67" s="9">
        <v>70</v>
      </c>
      <c r="B67" s="10" t="s">
        <v>211</v>
      </c>
      <c r="C67" s="10" t="s">
        <v>178</v>
      </c>
      <c r="D67" s="10" t="s">
        <v>179</v>
      </c>
      <c r="E67" s="10" t="s">
        <v>29</v>
      </c>
      <c r="F67" s="10" t="s">
        <v>16</v>
      </c>
      <c r="G67" s="10">
        <v>500</v>
      </c>
      <c r="H67" s="10">
        <v>750</v>
      </c>
      <c r="I67" s="10" t="s">
        <v>24</v>
      </c>
      <c r="J67" s="10" t="s">
        <v>212</v>
      </c>
      <c r="K67" s="10">
        <v>2980</v>
      </c>
      <c r="L67" s="10">
        <v>2094</v>
      </c>
      <c r="M67" s="10">
        <v>2060</v>
      </c>
      <c r="N67" s="10">
        <v>12.85</v>
      </c>
      <c r="O67" s="10">
        <v>170</v>
      </c>
      <c r="P67" s="10">
        <v>1</v>
      </c>
      <c r="Q67" s="10" t="s">
        <v>213</v>
      </c>
      <c r="R67" s="10" t="s">
        <v>214</v>
      </c>
      <c r="S67" s="10">
        <v>5320</v>
      </c>
      <c r="T67" s="10">
        <v>5150</v>
      </c>
      <c r="U67" s="14" t="s">
        <v>1402</v>
      </c>
    </row>
    <row r="68" spans="1:21" ht="15" x14ac:dyDescent="0.35">
      <c r="A68" s="9">
        <v>71</v>
      </c>
      <c r="B68" s="10" t="s">
        <v>215</v>
      </c>
      <c r="C68" s="10" t="s">
        <v>178</v>
      </c>
      <c r="D68" s="10" t="s">
        <v>179</v>
      </c>
      <c r="E68" s="10" t="s">
        <v>216</v>
      </c>
      <c r="F68" s="10" t="s">
        <v>16</v>
      </c>
      <c r="G68" s="10">
        <v>274</v>
      </c>
      <c r="H68" s="10">
        <v>1100</v>
      </c>
      <c r="I68" s="10" t="s">
        <v>24</v>
      </c>
      <c r="J68" s="10" t="s">
        <v>217</v>
      </c>
      <c r="K68" s="10">
        <v>2300</v>
      </c>
      <c r="L68" s="10">
        <v>1500</v>
      </c>
      <c r="M68" s="10">
        <v>1800</v>
      </c>
      <c r="N68" s="10">
        <v>6.21</v>
      </c>
      <c r="O68" s="10">
        <v>151</v>
      </c>
      <c r="P68" s="10">
        <v>1</v>
      </c>
      <c r="Q68" s="10" t="s">
        <v>218</v>
      </c>
      <c r="R68" s="10" t="s">
        <v>219</v>
      </c>
      <c r="S68" s="10">
        <v>5351</v>
      </c>
      <c r="T68" s="10">
        <v>5200</v>
      </c>
      <c r="U68" s="14" t="s">
        <v>1402</v>
      </c>
    </row>
    <row r="69" spans="1:21" ht="15" x14ac:dyDescent="0.35">
      <c r="A69" s="9">
        <v>72</v>
      </c>
      <c r="B69" s="10" t="s">
        <v>220</v>
      </c>
      <c r="C69" s="10" t="s">
        <v>178</v>
      </c>
      <c r="D69" s="10" t="s">
        <v>179</v>
      </c>
      <c r="E69" s="10" t="s">
        <v>221</v>
      </c>
      <c r="F69" s="10" t="s">
        <v>41</v>
      </c>
      <c r="G69" s="10">
        <v>590</v>
      </c>
      <c r="H69" s="10">
        <v>770</v>
      </c>
      <c r="I69" s="10" t="s">
        <v>17</v>
      </c>
      <c r="J69" s="10" t="s">
        <v>222</v>
      </c>
      <c r="K69" s="10">
        <v>2660</v>
      </c>
      <c r="L69" s="10">
        <v>1640</v>
      </c>
      <c r="M69" s="10">
        <v>1600</v>
      </c>
      <c r="N69" s="10">
        <v>6.98</v>
      </c>
      <c r="O69" s="10">
        <v>151</v>
      </c>
      <c r="P69" s="10">
        <v>1</v>
      </c>
      <c r="Q69" s="10" t="s">
        <v>223</v>
      </c>
      <c r="R69" s="10" t="s">
        <v>224</v>
      </c>
      <c r="S69" s="10">
        <v>4321</v>
      </c>
      <c r="T69" s="10">
        <v>4170</v>
      </c>
      <c r="U69" s="14" t="s">
        <v>1402</v>
      </c>
    </row>
    <row r="70" spans="1:21" ht="15" x14ac:dyDescent="0.35">
      <c r="A70" s="9">
        <v>73</v>
      </c>
      <c r="B70" s="10" t="s">
        <v>225</v>
      </c>
      <c r="C70" s="10" t="s">
        <v>178</v>
      </c>
      <c r="D70" s="10" t="s">
        <v>179</v>
      </c>
      <c r="E70" s="10" t="s">
        <v>226</v>
      </c>
      <c r="F70" s="10" t="s">
        <v>16</v>
      </c>
      <c r="G70" s="10">
        <v>500</v>
      </c>
      <c r="H70" s="10">
        <v>750</v>
      </c>
      <c r="I70" s="10" t="s">
        <v>24</v>
      </c>
      <c r="J70" s="10" t="s">
        <v>227</v>
      </c>
      <c r="K70" s="10">
        <v>2250</v>
      </c>
      <c r="L70" s="10">
        <v>2194</v>
      </c>
      <c r="M70" s="10">
        <v>2040</v>
      </c>
      <c r="N70" s="10">
        <v>10.07</v>
      </c>
      <c r="O70" s="10">
        <v>185</v>
      </c>
      <c r="P70" s="10">
        <v>1</v>
      </c>
      <c r="Q70" s="10" t="s">
        <v>228</v>
      </c>
      <c r="R70" s="10" t="s">
        <v>229</v>
      </c>
      <c r="S70" s="10">
        <v>5015</v>
      </c>
      <c r="T70" s="10">
        <v>4830</v>
      </c>
      <c r="U70" s="14" t="s">
        <v>1402</v>
      </c>
    </row>
    <row r="71" spans="1:21" ht="15" x14ac:dyDescent="0.35">
      <c r="A71" s="9">
        <v>74</v>
      </c>
      <c r="B71" s="10" t="s">
        <v>230</v>
      </c>
      <c r="C71" s="10" t="s">
        <v>178</v>
      </c>
      <c r="D71" s="10" t="s">
        <v>179</v>
      </c>
      <c r="E71" s="10" t="s">
        <v>231</v>
      </c>
      <c r="F71" s="10" t="s">
        <v>16</v>
      </c>
      <c r="G71" s="10">
        <v>218</v>
      </c>
      <c r="H71" s="10">
        <v>1025</v>
      </c>
      <c r="I71" s="10" t="s">
        <v>17</v>
      </c>
      <c r="J71" s="10" t="s">
        <v>232</v>
      </c>
      <c r="K71" s="10">
        <v>2840</v>
      </c>
      <c r="L71" s="10">
        <v>1900</v>
      </c>
      <c r="M71" s="10">
        <v>1542</v>
      </c>
      <c r="N71" s="10">
        <v>8.32</v>
      </c>
      <c r="O71" s="10">
        <v>230</v>
      </c>
      <c r="P71" s="10">
        <v>1</v>
      </c>
      <c r="Q71" s="10" t="s">
        <v>233</v>
      </c>
      <c r="R71" s="10" t="s">
        <v>234</v>
      </c>
      <c r="S71" s="10">
        <v>5430</v>
      </c>
      <c r="T71" s="10">
        <v>5200</v>
      </c>
      <c r="U71" s="14" t="s">
        <v>1402</v>
      </c>
    </row>
    <row r="72" spans="1:21" ht="15" x14ac:dyDescent="0.35">
      <c r="A72" s="9">
        <v>75</v>
      </c>
      <c r="B72" s="10" t="s">
        <v>235</v>
      </c>
      <c r="C72" s="10" t="s">
        <v>178</v>
      </c>
      <c r="D72" s="10" t="s">
        <v>179</v>
      </c>
      <c r="E72" s="10" t="s">
        <v>236</v>
      </c>
      <c r="F72" s="10" t="s">
        <v>16</v>
      </c>
      <c r="G72" s="10">
        <v>500</v>
      </c>
      <c r="H72" s="10">
        <v>750</v>
      </c>
      <c r="I72" s="10" t="s">
        <v>24</v>
      </c>
      <c r="J72" s="10" t="s">
        <v>237</v>
      </c>
      <c r="K72" s="10">
        <v>2520</v>
      </c>
      <c r="L72" s="10">
        <v>1914</v>
      </c>
      <c r="M72" s="10">
        <v>2112</v>
      </c>
      <c r="N72" s="10">
        <v>10.19</v>
      </c>
      <c r="O72" s="10">
        <v>175</v>
      </c>
      <c r="P72" s="10">
        <v>1</v>
      </c>
      <c r="Q72" s="10" t="s">
        <v>238</v>
      </c>
      <c r="R72" s="10" t="s">
        <v>239</v>
      </c>
      <c r="S72" s="10">
        <v>5875</v>
      </c>
      <c r="T72" s="10">
        <v>5700</v>
      </c>
      <c r="U72" s="14" t="s">
        <v>1402</v>
      </c>
    </row>
    <row r="73" spans="1:21" ht="15" x14ac:dyDescent="0.35">
      <c r="A73" s="9">
        <v>76</v>
      </c>
      <c r="B73" s="10" t="s">
        <v>240</v>
      </c>
      <c r="C73" s="10" t="s">
        <v>178</v>
      </c>
      <c r="D73" s="10" t="s">
        <v>179</v>
      </c>
      <c r="E73" s="10" t="s">
        <v>241</v>
      </c>
      <c r="F73" s="10" t="s">
        <v>16</v>
      </c>
      <c r="G73" s="10">
        <v>274</v>
      </c>
      <c r="H73" s="10">
        <v>1100</v>
      </c>
      <c r="I73" s="10" t="s">
        <v>17</v>
      </c>
      <c r="J73" s="10" t="s">
        <v>242</v>
      </c>
      <c r="K73" s="10">
        <v>2265</v>
      </c>
      <c r="L73" s="10">
        <v>1584</v>
      </c>
      <c r="M73" s="10">
        <v>1570</v>
      </c>
      <c r="N73" s="10">
        <v>5.63</v>
      </c>
      <c r="O73" s="10">
        <v>158</v>
      </c>
      <c r="P73" s="10">
        <v>1</v>
      </c>
      <c r="Q73" s="10" t="s">
        <v>243</v>
      </c>
      <c r="R73" s="10" t="s">
        <v>244</v>
      </c>
      <c r="S73" s="10">
        <v>4698</v>
      </c>
      <c r="T73" s="10">
        <v>4540</v>
      </c>
      <c r="U73" s="14" t="s">
        <v>1402</v>
      </c>
    </row>
    <row r="74" spans="1:21" ht="15" x14ac:dyDescent="0.35">
      <c r="A74" s="9">
        <v>78</v>
      </c>
      <c r="B74" s="10" t="s">
        <v>245</v>
      </c>
      <c r="C74" s="10" t="s">
        <v>178</v>
      </c>
      <c r="D74" s="10" t="s">
        <v>179</v>
      </c>
      <c r="E74" s="10" t="s">
        <v>241</v>
      </c>
      <c r="F74" s="10" t="s">
        <v>16</v>
      </c>
      <c r="G74" s="10">
        <v>400</v>
      </c>
      <c r="H74" s="10">
        <v>1170</v>
      </c>
      <c r="I74" s="10" t="s">
        <v>24</v>
      </c>
      <c r="J74" s="10" t="s">
        <v>246</v>
      </c>
      <c r="K74" s="10">
        <v>3200</v>
      </c>
      <c r="L74" s="10">
        <v>2430</v>
      </c>
      <c r="M74" s="10">
        <v>1790</v>
      </c>
      <c r="N74" s="10">
        <v>13.92</v>
      </c>
      <c r="O74" s="10">
        <v>200</v>
      </c>
      <c r="P74" s="10">
        <v>1</v>
      </c>
      <c r="Q74" s="10" t="s">
        <v>247</v>
      </c>
      <c r="R74" s="10" t="s">
        <v>248</v>
      </c>
      <c r="S74" s="10">
        <v>6600</v>
      </c>
      <c r="T74" s="10">
        <v>6400</v>
      </c>
      <c r="U74" s="14" t="s">
        <v>1402</v>
      </c>
    </row>
    <row r="75" spans="1:21" ht="15" x14ac:dyDescent="0.35">
      <c r="A75" s="9">
        <v>79</v>
      </c>
      <c r="B75" s="10" t="s">
        <v>249</v>
      </c>
      <c r="C75" s="10" t="s">
        <v>178</v>
      </c>
      <c r="D75" s="10" t="s">
        <v>179</v>
      </c>
      <c r="E75" s="10" t="s">
        <v>241</v>
      </c>
      <c r="F75" s="10" t="s">
        <v>16</v>
      </c>
      <c r="G75" s="10">
        <v>500</v>
      </c>
      <c r="H75" s="10">
        <v>750</v>
      </c>
      <c r="I75" s="10" t="s">
        <v>24</v>
      </c>
      <c r="J75" s="10" t="s">
        <v>250</v>
      </c>
      <c r="K75" s="10">
        <v>2550</v>
      </c>
      <c r="L75" s="10">
        <v>1964</v>
      </c>
      <c r="M75" s="10">
        <v>2000</v>
      </c>
      <c r="N75" s="10">
        <v>10.02</v>
      </c>
      <c r="O75" s="10">
        <v>190</v>
      </c>
      <c r="P75" s="10">
        <v>1</v>
      </c>
      <c r="Q75" s="10" t="s">
        <v>251</v>
      </c>
      <c r="R75" s="10" t="s">
        <v>252</v>
      </c>
      <c r="S75" s="10">
        <v>6175</v>
      </c>
      <c r="T75" s="10">
        <v>5985</v>
      </c>
      <c r="U75" s="14" t="s">
        <v>1402</v>
      </c>
    </row>
    <row r="76" spans="1:21" ht="15" x14ac:dyDescent="0.35">
      <c r="A76" s="9">
        <v>77</v>
      </c>
      <c r="B76" s="10" t="s">
        <v>253</v>
      </c>
      <c r="C76" s="10" t="s">
        <v>178</v>
      </c>
      <c r="D76" s="10" t="s">
        <v>179</v>
      </c>
      <c r="E76" s="10" t="s">
        <v>241</v>
      </c>
      <c r="F76" s="10" t="s">
        <v>16</v>
      </c>
      <c r="G76" s="10">
        <v>274</v>
      </c>
      <c r="H76" s="10">
        <v>1100</v>
      </c>
      <c r="I76" s="10" t="s">
        <v>34</v>
      </c>
      <c r="J76" s="10" t="s">
        <v>254</v>
      </c>
      <c r="K76" s="10">
        <v>3100</v>
      </c>
      <c r="L76" s="10">
        <v>1800</v>
      </c>
      <c r="M76" s="10">
        <v>1850</v>
      </c>
      <c r="N76" s="10">
        <v>10.32</v>
      </c>
      <c r="O76" s="10">
        <v>188</v>
      </c>
      <c r="P76" s="10">
        <v>1</v>
      </c>
      <c r="Q76" s="10" t="s">
        <v>255</v>
      </c>
      <c r="R76" s="10" t="s">
        <v>256</v>
      </c>
      <c r="S76" s="10">
        <v>6338</v>
      </c>
      <c r="T76" s="10">
        <v>6150</v>
      </c>
      <c r="U76" s="14" t="s">
        <v>1402</v>
      </c>
    </row>
    <row r="77" spans="1:21" ht="15" x14ac:dyDescent="0.35">
      <c r="A77" s="9">
        <v>80</v>
      </c>
      <c r="B77" s="10" t="s">
        <v>257</v>
      </c>
      <c r="C77" s="10" t="s">
        <v>178</v>
      </c>
      <c r="D77" s="10" t="s">
        <v>179</v>
      </c>
      <c r="E77" s="10" t="s">
        <v>241</v>
      </c>
      <c r="F77" s="10" t="s">
        <v>41</v>
      </c>
      <c r="G77" s="10">
        <v>475</v>
      </c>
      <c r="H77" s="10">
        <v>900</v>
      </c>
      <c r="I77" s="10" t="s">
        <v>17</v>
      </c>
      <c r="J77" s="10" t="s">
        <v>258</v>
      </c>
      <c r="K77" s="10">
        <v>2280</v>
      </c>
      <c r="L77" s="10">
        <v>1344</v>
      </c>
      <c r="M77" s="10">
        <v>1620</v>
      </c>
      <c r="N77" s="10">
        <v>4.96</v>
      </c>
      <c r="O77" s="10">
        <v>119</v>
      </c>
      <c r="P77" s="10">
        <v>1</v>
      </c>
      <c r="Q77" s="10" t="s">
        <v>259</v>
      </c>
      <c r="R77" s="10" t="s">
        <v>260</v>
      </c>
      <c r="S77" s="10">
        <v>4819</v>
      </c>
      <c r="T77" s="10">
        <v>4700</v>
      </c>
      <c r="U77" s="14" t="s">
        <v>1402</v>
      </c>
    </row>
    <row r="78" spans="1:21" ht="15" x14ac:dyDescent="0.35">
      <c r="A78" s="9">
        <v>81</v>
      </c>
      <c r="B78" s="10" t="s">
        <v>261</v>
      </c>
      <c r="C78" s="10" t="s">
        <v>178</v>
      </c>
      <c r="D78" s="10" t="s">
        <v>179</v>
      </c>
      <c r="E78" s="10" t="s">
        <v>241</v>
      </c>
      <c r="F78" s="10" t="s">
        <v>41</v>
      </c>
      <c r="G78" s="10">
        <v>500</v>
      </c>
      <c r="H78" s="10">
        <v>750</v>
      </c>
      <c r="I78" s="10" t="s">
        <v>17</v>
      </c>
      <c r="J78" s="10" t="s">
        <v>262</v>
      </c>
      <c r="K78" s="10">
        <v>2600</v>
      </c>
      <c r="L78" s="10">
        <v>1600</v>
      </c>
      <c r="M78" s="10">
        <v>1775</v>
      </c>
      <c r="N78" s="10">
        <v>7.38</v>
      </c>
      <c r="O78" s="10">
        <v>144</v>
      </c>
      <c r="P78" s="10">
        <v>1</v>
      </c>
      <c r="Q78" s="10" t="s">
        <v>263</v>
      </c>
      <c r="R78" s="10" t="s">
        <v>264</v>
      </c>
      <c r="S78" s="10">
        <v>5944</v>
      </c>
      <c r="T78" s="10">
        <v>5800</v>
      </c>
      <c r="U78" s="14" t="s">
        <v>1402</v>
      </c>
    </row>
    <row r="79" spans="1:21" ht="15" x14ac:dyDescent="0.35">
      <c r="A79" s="9">
        <v>82</v>
      </c>
      <c r="B79" s="10" t="s">
        <v>265</v>
      </c>
      <c r="C79" s="10" t="s">
        <v>178</v>
      </c>
      <c r="D79" s="10" t="s">
        <v>179</v>
      </c>
      <c r="E79" s="10" t="s">
        <v>266</v>
      </c>
      <c r="F79" s="10" t="s">
        <v>16</v>
      </c>
      <c r="G79" s="10">
        <v>500</v>
      </c>
      <c r="H79" s="10">
        <v>750</v>
      </c>
      <c r="I79" s="10" t="s">
        <v>34</v>
      </c>
      <c r="J79" s="10" t="s">
        <v>267</v>
      </c>
      <c r="K79" s="10">
        <v>3100</v>
      </c>
      <c r="L79" s="10">
        <v>2400</v>
      </c>
      <c r="M79" s="10">
        <v>1950</v>
      </c>
      <c r="N79" s="10">
        <v>14.51</v>
      </c>
      <c r="O79" s="10">
        <v>2100</v>
      </c>
      <c r="P79" s="10">
        <v>1</v>
      </c>
      <c r="Q79" s="10" t="s">
        <v>268</v>
      </c>
      <c r="R79" s="10" t="s">
        <v>269</v>
      </c>
      <c r="S79" s="10">
        <v>9200</v>
      </c>
      <c r="T79" s="10">
        <v>7100</v>
      </c>
      <c r="U79" s="14" t="s">
        <v>1402</v>
      </c>
    </row>
    <row r="80" spans="1:21" ht="15" x14ac:dyDescent="0.35">
      <c r="A80" s="9">
        <v>83</v>
      </c>
      <c r="B80" s="10" t="s">
        <v>270</v>
      </c>
      <c r="C80" s="10" t="s">
        <v>178</v>
      </c>
      <c r="D80" s="10" t="s">
        <v>179</v>
      </c>
      <c r="E80" s="10" t="s">
        <v>271</v>
      </c>
      <c r="F80" s="10" t="s">
        <v>16</v>
      </c>
      <c r="G80" s="10">
        <v>500</v>
      </c>
      <c r="H80" s="10">
        <v>750</v>
      </c>
      <c r="I80" s="10" t="s">
        <v>17</v>
      </c>
      <c r="J80" s="10" t="s">
        <v>272</v>
      </c>
      <c r="K80" s="10">
        <v>2280</v>
      </c>
      <c r="L80" s="10">
        <v>1294</v>
      </c>
      <c r="M80" s="10">
        <v>1615</v>
      </c>
      <c r="N80" s="10">
        <v>4.76</v>
      </c>
      <c r="O80" s="10">
        <v>104</v>
      </c>
      <c r="P80" s="10">
        <v>1</v>
      </c>
      <c r="Q80" s="10" t="s">
        <v>273</v>
      </c>
      <c r="R80" s="10" t="s">
        <v>274</v>
      </c>
      <c r="S80" s="10">
        <v>5199</v>
      </c>
      <c r="T80" s="10">
        <v>5095</v>
      </c>
      <c r="U80" s="14" t="s">
        <v>1402</v>
      </c>
    </row>
    <row r="81" spans="1:21" ht="15" x14ac:dyDescent="0.35">
      <c r="A81" s="9">
        <v>84</v>
      </c>
      <c r="B81" s="10" t="s">
        <v>275</v>
      </c>
      <c r="C81" s="10" t="s">
        <v>178</v>
      </c>
      <c r="D81" s="10" t="s">
        <v>179</v>
      </c>
      <c r="E81" s="10" t="s">
        <v>271</v>
      </c>
      <c r="F81" s="10" t="s">
        <v>16</v>
      </c>
      <c r="G81" s="10">
        <v>500</v>
      </c>
      <c r="H81" s="10">
        <v>750</v>
      </c>
      <c r="I81" s="10" t="s">
        <v>24</v>
      </c>
      <c r="J81" s="10" t="s">
        <v>276</v>
      </c>
      <c r="K81" s="10">
        <v>3330</v>
      </c>
      <c r="L81" s="10">
        <v>2344</v>
      </c>
      <c r="M81" s="10">
        <v>2085</v>
      </c>
      <c r="N81" s="10">
        <v>16.27</v>
      </c>
      <c r="O81" s="10">
        <v>243</v>
      </c>
      <c r="P81" s="10">
        <v>1</v>
      </c>
      <c r="Q81" s="10" t="s">
        <v>277</v>
      </c>
      <c r="R81" s="10" t="s">
        <v>278</v>
      </c>
      <c r="S81" s="10">
        <v>7493</v>
      </c>
      <c r="T81" s="10">
        <v>7250</v>
      </c>
      <c r="U81" s="14" t="s">
        <v>1402</v>
      </c>
    </row>
    <row r="82" spans="1:21" ht="15" x14ac:dyDescent="0.35">
      <c r="A82" s="9">
        <v>85</v>
      </c>
      <c r="B82" s="10" t="s">
        <v>279</v>
      </c>
      <c r="C82" s="10" t="s">
        <v>178</v>
      </c>
      <c r="D82" s="10" t="s">
        <v>179</v>
      </c>
      <c r="E82" s="10" t="s">
        <v>280</v>
      </c>
      <c r="F82" s="10" t="s">
        <v>16</v>
      </c>
      <c r="G82" s="10">
        <v>500</v>
      </c>
      <c r="H82" s="10">
        <v>750</v>
      </c>
      <c r="I82" s="10" t="s">
        <v>17</v>
      </c>
      <c r="J82" s="10" t="s">
        <v>281</v>
      </c>
      <c r="K82" s="10">
        <v>2640</v>
      </c>
      <c r="L82" s="10">
        <v>1644</v>
      </c>
      <c r="M82" s="10">
        <v>1684</v>
      </c>
      <c r="N82" s="10">
        <v>7.31</v>
      </c>
      <c r="O82" s="10">
        <v>144</v>
      </c>
      <c r="P82" s="10">
        <v>1</v>
      </c>
      <c r="Q82" s="10" t="s">
        <v>282</v>
      </c>
      <c r="R82" s="10" t="s">
        <v>183</v>
      </c>
      <c r="S82" s="10">
        <v>4744</v>
      </c>
      <c r="T82" s="10">
        <v>4600</v>
      </c>
      <c r="U82" s="14" t="s">
        <v>1402</v>
      </c>
    </row>
    <row r="83" spans="1:21" ht="15" x14ac:dyDescent="0.35">
      <c r="A83" s="9">
        <v>86</v>
      </c>
      <c r="B83" s="10" t="s">
        <v>283</v>
      </c>
      <c r="C83" s="10" t="s">
        <v>179</v>
      </c>
      <c r="D83" s="10" t="s">
        <v>179</v>
      </c>
      <c r="E83" s="10" t="s">
        <v>284</v>
      </c>
      <c r="F83" s="10" t="s">
        <v>16</v>
      </c>
      <c r="G83" s="10">
        <v>500</v>
      </c>
      <c r="H83" s="10">
        <v>750</v>
      </c>
      <c r="I83" s="10" t="s">
        <v>17</v>
      </c>
      <c r="J83" s="10" t="s">
        <v>285</v>
      </c>
      <c r="K83" s="10">
        <v>2640</v>
      </c>
      <c r="L83" s="10">
        <v>1644</v>
      </c>
      <c r="M83" s="10">
        <v>1733</v>
      </c>
      <c r="N83" s="10">
        <v>7.52</v>
      </c>
      <c r="O83" s="10">
        <v>140</v>
      </c>
      <c r="P83" s="10">
        <v>1</v>
      </c>
      <c r="Q83" s="10" t="s">
        <v>286</v>
      </c>
      <c r="R83" s="10" t="s">
        <v>287</v>
      </c>
      <c r="S83" s="10">
        <v>4950</v>
      </c>
      <c r="T83" s="10">
        <v>4810</v>
      </c>
      <c r="U83" s="14" t="s">
        <v>1402</v>
      </c>
    </row>
    <row r="84" spans="1:21" ht="15" x14ac:dyDescent="0.35">
      <c r="A84" s="9">
        <v>87</v>
      </c>
      <c r="B84" s="10" t="s">
        <v>288</v>
      </c>
      <c r="C84" s="10" t="s">
        <v>178</v>
      </c>
      <c r="D84" s="10" t="s">
        <v>179</v>
      </c>
      <c r="E84" s="10" t="s">
        <v>284</v>
      </c>
      <c r="F84" s="10" t="s">
        <v>41</v>
      </c>
      <c r="G84" s="10">
        <v>500</v>
      </c>
      <c r="H84" s="10">
        <v>750</v>
      </c>
      <c r="I84" s="10" t="s">
        <v>17</v>
      </c>
      <c r="J84" s="10" t="s">
        <v>289</v>
      </c>
      <c r="K84" s="10">
        <v>2480</v>
      </c>
      <c r="L84" s="10">
        <v>1644</v>
      </c>
      <c r="M84" s="10">
        <v>1684</v>
      </c>
      <c r="N84" s="10">
        <v>6.87</v>
      </c>
      <c r="O84" s="10">
        <v>139</v>
      </c>
      <c r="P84" s="10">
        <v>1</v>
      </c>
      <c r="Q84" s="10" t="s">
        <v>290</v>
      </c>
      <c r="R84" s="10" t="s">
        <v>187</v>
      </c>
      <c r="S84" s="50"/>
      <c r="T84" s="50"/>
      <c r="U84" s="14" t="s">
        <v>1402</v>
      </c>
    </row>
    <row r="85" spans="1:21" ht="15" x14ac:dyDescent="0.35">
      <c r="A85" s="9">
        <v>88</v>
      </c>
      <c r="B85" s="10" t="s">
        <v>291</v>
      </c>
      <c r="C85" s="10" t="s">
        <v>178</v>
      </c>
      <c r="D85" s="10" t="s">
        <v>179</v>
      </c>
      <c r="E85" s="10" t="s">
        <v>292</v>
      </c>
      <c r="F85" s="10" t="s">
        <v>41</v>
      </c>
      <c r="G85" s="10">
        <v>500</v>
      </c>
      <c r="H85" s="10">
        <v>750</v>
      </c>
      <c r="I85" s="10" t="s">
        <v>17</v>
      </c>
      <c r="J85" s="10" t="s">
        <v>293</v>
      </c>
      <c r="K85" s="10">
        <v>2540</v>
      </c>
      <c r="L85" s="10">
        <v>1644</v>
      </c>
      <c r="M85" s="10">
        <v>1684</v>
      </c>
      <c r="N85" s="10">
        <v>7.03</v>
      </c>
      <c r="O85" s="10">
        <v>144</v>
      </c>
      <c r="P85" s="10">
        <v>1</v>
      </c>
      <c r="Q85" s="10" t="s">
        <v>294</v>
      </c>
      <c r="R85" s="10" t="s">
        <v>183</v>
      </c>
      <c r="S85" s="10">
        <v>4720</v>
      </c>
      <c r="T85" s="10">
        <v>4720</v>
      </c>
      <c r="U85" s="14" t="s">
        <v>1402</v>
      </c>
    </row>
    <row r="86" spans="1:21" ht="15" x14ac:dyDescent="0.35">
      <c r="A86" s="9">
        <v>89</v>
      </c>
      <c r="B86" s="10" t="s">
        <v>295</v>
      </c>
      <c r="C86" s="10" t="s">
        <v>178</v>
      </c>
      <c r="D86" s="10" t="s">
        <v>179</v>
      </c>
      <c r="E86" s="10" t="s">
        <v>296</v>
      </c>
      <c r="F86" s="10" t="s">
        <v>16</v>
      </c>
      <c r="G86" s="10">
        <v>500</v>
      </c>
      <c r="H86" s="10">
        <v>750</v>
      </c>
      <c r="I86" s="10" t="s">
        <v>17</v>
      </c>
      <c r="J86" s="10" t="s">
        <v>297</v>
      </c>
      <c r="K86" s="10">
        <v>2640</v>
      </c>
      <c r="L86" s="10">
        <v>1644</v>
      </c>
      <c r="M86" s="10">
        <v>1675</v>
      </c>
      <c r="N86" s="10">
        <v>7.27</v>
      </c>
      <c r="O86" s="10">
        <v>144</v>
      </c>
      <c r="P86" s="10">
        <v>1</v>
      </c>
      <c r="Q86" s="10" t="s">
        <v>282</v>
      </c>
      <c r="R86" s="10" t="s">
        <v>183</v>
      </c>
      <c r="S86" s="10">
        <v>5235</v>
      </c>
      <c r="T86" s="10">
        <v>5091</v>
      </c>
      <c r="U86" s="14" t="s">
        <v>1402</v>
      </c>
    </row>
    <row r="87" spans="1:21" ht="15" x14ac:dyDescent="0.35">
      <c r="A87" s="9">
        <v>90</v>
      </c>
      <c r="B87" s="10" t="s">
        <v>298</v>
      </c>
      <c r="C87" s="10" t="s">
        <v>178</v>
      </c>
      <c r="D87" s="10" t="s">
        <v>179</v>
      </c>
      <c r="E87" s="10" t="s">
        <v>296</v>
      </c>
      <c r="F87" s="10" t="s">
        <v>41</v>
      </c>
      <c r="G87" s="10">
        <v>475</v>
      </c>
      <c r="H87" s="10">
        <v>900</v>
      </c>
      <c r="I87" s="10" t="s">
        <v>17</v>
      </c>
      <c r="J87" s="10" t="s">
        <v>299</v>
      </c>
      <c r="K87" s="10">
        <v>2360</v>
      </c>
      <c r="L87" s="10">
        <v>1634</v>
      </c>
      <c r="M87" s="10">
        <v>1660</v>
      </c>
      <c r="N87" s="10">
        <v>6.4</v>
      </c>
      <c r="O87" s="10">
        <v>137</v>
      </c>
      <c r="P87" s="10">
        <v>1</v>
      </c>
      <c r="Q87" s="10" t="s">
        <v>300</v>
      </c>
      <c r="R87" s="10" t="s">
        <v>287</v>
      </c>
      <c r="S87" s="10">
        <v>5127</v>
      </c>
      <c r="T87" s="10">
        <v>4990</v>
      </c>
      <c r="U87" s="14" t="s">
        <v>1402</v>
      </c>
    </row>
    <row r="88" spans="1:21" ht="15" x14ac:dyDescent="0.35">
      <c r="A88" s="9">
        <v>91</v>
      </c>
      <c r="B88" s="10" t="s">
        <v>301</v>
      </c>
      <c r="C88" s="10" t="s">
        <v>178</v>
      </c>
      <c r="D88" s="10" t="s">
        <v>179</v>
      </c>
      <c r="E88" s="10" t="s">
        <v>296</v>
      </c>
      <c r="F88" s="10" t="s">
        <v>41</v>
      </c>
      <c r="G88" s="10">
        <v>500</v>
      </c>
      <c r="H88" s="10">
        <v>750</v>
      </c>
      <c r="I88" s="10" t="s">
        <v>17</v>
      </c>
      <c r="J88" s="10" t="s">
        <v>302</v>
      </c>
      <c r="K88" s="10">
        <v>2480</v>
      </c>
      <c r="L88" s="10">
        <v>1644</v>
      </c>
      <c r="M88" s="10">
        <v>1670</v>
      </c>
      <c r="N88" s="10">
        <v>6.81</v>
      </c>
      <c r="O88" s="10">
        <v>139</v>
      </c>
      <c r="P88" s="10">
        <v>1</v>
      </c>
      <c r="Q88" s="10" t="s">
        <v>290</v>
      </c>
      <c r="R88" s="10" t="s">
        <v>187</v>
      </c>
      <c r="S88" s="10">
        <v>5129</v>
      </c>
      <c r="T88" s="10">
        <v>4990</v>
      </c>
      <c r="U88" s="14" t="s">
        <v>1402</v>
      </c>
    </row>
    <row r="89" spans="1:21" ht="15" x14ac:dyDescent="0.35">
      <c r="A89" s="9">
        <v>92</v>
      </c>
      <c r="B89" s="10" t="s">
        <v>303</v>
      </c>
      <c r="C89" s="10" t="s">
        <v>178</v>
      </c>
      <c r="D89" s="10" t="s">
        <v>179</v>
      </c>
      <c r="E89" s="10" t="s">
        <v>304</v>
      </c>
      <c r="F89" s="10" t="s">
        <v>16</v>
      </c>
      <c r="G89" s="10">
        <v>500</v>
      </c>
      <c r="H89" s="10">
        <v>750</v>
      </c>
      <c r="I89" s="10" t="s">
        <v>17</v>
      </c>
      <c r="J89" s="10" t="s">
        <v>297</v>
      </c>
      <c r="K89" s="10">
        <v>2640</v>
      </c>
      <c r="L89" s="10">
        <v>1644</v>
      </c>
      <c r="M89" s="10">
        <v>1675</v>
      </c>
      <c r="N89" s="10">
        <v>7.27</v>
      </c>
      <c r="O89" s="10">
        <v>144</v>
      </c>
      <c r="P89" s="10">
        <v>1</v>
      </c>
      <c r="Q89" s="10" t="s">
        <v>305</v>
      </c>
      <c r="R89" s="10" t="s">
        <v>183</v>
      </c>
      <c r="S89" s="10">
        <v>5014</v>
      </c>
      <c r="T89" s="10">
        <v>4870</v>
      </c>
      <c r="U89" s="14" t="s">
        <v>1402</v>
      </c>
    </row>
    <row r="90" spans="1:21" ht="15" x14ac:dyDescent="0.35">
      <c r="A90" s="9">
        <v>93</v>
      </c>
      <c r="B90" s="10" t="s">
        <v>306</v>
      </c>
      <c r="C90" s="10" t="s">
        <v>178</v>
      </c>
      <c r="D90" s="10" t="s">
        <v>179</v>
      </c>
      <c r="E90" s="10" t="s">
        <v>304</v>
      </c>
      <c r="F90" s="10" t="s">
        <v>41</v>
      </c>
      <c r="G90" s="10">
        <v>500</v>
      </c>
      <c r="H90" s="10">
        <v>750</v>
      </c>
      <c r="I90" s="10" t="s">
        <v>17</v>
      </c>
      <c r="J90" s="10" t="s">
        <v>307</v>
      </c>
      <c r="K90" s="10">
        <v>2580</v>
      </c>
      <c r="L90" s="10">
        <v>1644</v>
      </c>
      <c r="M90" s="10">
        <v>1772</v>
      </c>
      <c r="N90" s="10">
        <v>7.52</v>
      </c>
      <c r="O90" s="10">
        <v>139</v>
      </c>
      <c r="P90" s="10">
        <v>1</v>
      </c>
      <c r="Q90" s="10" t="s">
        <v>308</v>
      </c>
      <c r="R90" s="10" t="s">
        <v>287</v>
      </c>
      <c r="S90" s="10">
        <v>4879</v>
      </c>
      <c r="T90" s="10">
        <v>4740</v>
      </c>
      <c r="U90" s="14" t="s">
        <v>1402</v>
      </c>
    </row>
    <row r="91" spans="1:21" ht="15" x14ac:dyDescent="0.35">
      <c r="A91" s="9">
        <v>94</v>
      </c>
      <c r="B91" s="10" t="s">
        <v>309</v>
      </c>
      <c r="C91" s="10" t="s">
        <v>178</v>
      </c>
      <c r="D91" s="10" t="s">
        <v>179</v>
      </c>
      <c r="E91" s="10" t="s">
        <v>310</v>
      </c>
      <c r="F91" s="10" t="s">
        <v>16</v>
      </c>
      <c r="G91" s="10">
        <v>500</v>
      </c>
      <c r="H91" s="10">
        <v>750</v>
      </c>
      <c r="I91" s="10" t="s">
        <v>17</v>
      </c>
      <c r="J91" s="10" t="s">
        <v>311</v>
      </c>
      <c r="K91" s="10">
        <v>2740</v>
      </c>
      <c r="L91" s="10">
        <v>1644</v>
      </c>
      <c r="M91" s="10">
        <v>1733</v>
      </c>
      <c r="N91" s="10">
        <v>7.81</v>
      </c>
      <c r="O91" s="10">
        <v>142</v>
      </c>
      <c r="P91" s="10">
        <v>1</v>
      </c>
      <c r="Q91" s="10" t="s">
        <v>312</v>
      </c>
      <c r="R91" s="10" t="s">
        <v>287</v>
      </c>
      <c r="S91" s="10">
        <v>4642</v>
      </c>
      <c r="T91" s="10">
        <v>4500</v>
      </c>
      <c r="U91" s="14" t="s">
        <v>1402</v>
      </c>
    </row>
    <row r="92" spans="1:21" ht="15" x14ac:dyDescent="0.35">
      <c r="A92" s="9">
        <v>95</v>
      </c>
      <c r="B92" s="10" t="s">
        <v>313</v>
      </c>
      <c r="C92" s="10" t="s">
        <v>178</v>
      </c>
      <c r="D92" s="10" t="s">
        <v>179</v>
      </c>
      <c r="E92" s="10" t="s">
        <v>314</v>
      </c>
      <c r="F92" s="10" t="s">
        <v>16</v>
      </c>
      <c r="G92" s="10">
        <v>500</v>
      </c>
      <c r="H92" s="10">
        <v>750</v>
      </c>
      <c r="I92" s="10" t="s">
        <v>17</v>
      </c>
      <c r="J92" s="10" t="s">
        <v>297</v>
      </c>
      <c r="K92" s="10">
        <v>2640</v>
      </c>
      <c r="L92" s="10">
        <v>1644</v>
      </c>
      <c r="M92" s="10">
        <v>1675</v>
      </c>
      <c r="N92" s="10">
        <v>7.27</v>
      </c>
      <c r="O92" s="10">
        <v>147</v>
      </c>
      <c r="P92" s="10">
        <v>1</v>
      </c>
      <c r="Q92" s="10" t="s">
        <v>315</v>
      </c>
      <c r="R92" s="10" t="s">
        <v>183</v>
      </c>
      <c r="S92" s="10">
        <v>4912</v>
      </c>
      <c r="T92" s="10">
        <v>4765</v>
      </c>
      <c r="U92" s="14" t="s">
        <v>1402</v>
      </c>
    </row>
    <row r="93" spans="1:21" ht="15" x14ac:dyDescent="0.35">
      <c r="A93" s="9">
        <v>96</v>
      </c>
      <c r="B93" s="10" t="s">
        <v>316</v>
      </c>
      <c r="C93" s="10" t="s">
        <v>178</v>
      </c>
      <c r="D93" s="10" t="s">
        <v>179</v>
      </c>
      <c r="E93" s="10" t="s">
        <v>314</v>
      </c>
      <c r="F93" s="10" t="s">
        <v>41</v>
      </c>
      <c r="G93" s="10">
        <v>500</v>
      </c>
      <c r="H93" s="10">
        <v>750</v>
      </c>
      <c r="I93" s="10" t="s">
        <v>17</v>
      </c>
      <c r="J93" s="10" t="s">
        <v>174</v>
      </c>
      <c r="K93" s="10">
        <v>2580</v>
      </c>
      <c r="L93" s="10">
        <v>1644</v>
      </c>
      <c r="M93" s="10">
        <v>1670</v>
      </c>
      <c r="N93" s="10">
        <v>7.08</v>
      </c>
      <c r="O93" s="10">
        <v>142</v>
      </c>
      <c r="P93" s="10">
        <v>1</v>
      </c>
      <c r="Q93" s="10" t="s">
        <v>175</v>
      </c>
      <c r="R93" s="10" t="s">
        <v>187</v>
      </c>
      <c r="S93" s="10">
        <v>4422</v>
      </c>
      <c r="T93" s="10">
        <v>4280</v>
      </c>
      <c r="U93" s="14" t="s">
        <v>1402</v>
      </c>
    </row>
    <row r="94" spans="1:21" ht="15" x14ac:dyDescent="0.35">
      <c r="A94" s="9">
        <v>97</v>
      </c>
      <c r="B94" s="10" t="s">
        <v>317</v>
      </c>
      <c r="C94" s="10" t="s">
        <v>178</v>
      </c>
      <c r="D94" s="10" t="s">
        <v>179</v>
      </c>
      <c r="E94" s="10" t="s">
        <v>173</v>
      </c>
      <c r="F94" s="10" t="s">
        <v>16</v>
      </c>
      <c r="G94" s="10">
        <v>420</v>
      </c>
      <c r="H94" s="10">
        <v>760</v>
      </c>
      <c r="I94" s="10" t="s">
        <v>17</v>
      </c>
      <c r="J94" s="10" t="s">
        <v>318</v>
      </c>
      <c r="K94" s="10">
        <v>2640</v>
      </c>
      <c r="L94" s="10">
        <v>1644</v>
      </c>
      <c r="M94" s="10">
        <v>1594</v>
      </c>
      <c r="N94" s="10">
        <v>6.92</v>
      </c>
      <c r="O94" s="10">
        <v>144</v>
      </c>
      <c r="P94" s="10">
        <v>1</v>
      </c>
      <c r="Q94" s="10" t="s">
        <v>319</v>
      </c>
      <c r="R94" s="10" t="s">
        <v>320</v>
      </c>
      <c r="S94" s="10">
        <v>5114</v>
      </c>
      <c r="T94" s="10">
        <v>4970</v>
      </c>
      <c r="U94" s="14" t="s">
        <v>1402</v>
      </c>
    </row>
    <row r="95" spans="1:21" ht="15" x14ac:dyDescent="0.35">
      <c r="A95" s="9">
        <v>98</v>
      </c>
      <c r="B95" s="10" t="s">
        <v>321</v>
      </c>
      <c r="C95" s="10" t="s">
        <v>178</v>
      </c>
      <c r="D95" s="10" t="s">
        <v>179</v>
      </c>
      <c r="E95" s="10" t="s">
        <v>173</v>
      </c>
      <c r="F95" s="10" t="s">
        <v>16</v>
      </c>
      <c r="G95" s="10">
        <v>500</v>
      </c>
      <c r="H95" s="10">
        <v>750</v>
      </c>
      <c r="I95" s="10" t="s">
        <v>17</v>
      </c>
      <c r="J95" s="10" t="s">
        <v>297</v>
      </c>
      <c r="K95" s="10">
        <v>2640</v>
      </c>
      <c r="L95" s="10">
        <v>1644</v>
      </c>
      <c r="M95" s="10">
        <v>1675</v>
      </c>
      <c r="N95" s="10">
        <v>7.27</v>
      </c>
      <c r="O95" s="10">
        <v>144</v>
      </c>
      <c r="P95" s="10">
        <v>1</v>
      </c>
      <c r="Q95" s="10" t="s">
        <v>305</v>
      </c>
      <c r="R95" s="10" t="s">
        <v>183</v>
      </c>
      <c r="S95" s="10">
        <v>5014</v>
      </c>
      <c r="T95" s="10">
        <v>4870</v>
      </c>
      <c r="U95" s="14" t="s">
        <v>1402</v>
      </c>
    </row>
    <row r="96" spans="1:21" ht="15" x14ac:dyDescent="0.35">
      <c r="A96" s="9">
        <v>99</v>
      </c>
      <c r="B96" s="10" t="s">
        <v>322</v>
      </c>
      <c r="C96" s="10" t="s">
        <v>178</v>
      </c>
      <c r="D96" s="10" t="s">
        <v>179</v>
      </c>
      <c r="E96" s="10" t="s">
        <v>173</v>
      </c>
      <c r="F96" s="10" t="s">
        <v>16</v>
      </c>
      <c r="G96" s="10">
        <v>500</v>
      </c>
      <c r="H96" s="10">
        <v>750</v>
      </c>
      <c r="I96" s="10" t="s">
        <v>17</v>
      </c>
      <c r="J96" s="10" t="s">
        <v>297</v>
      </c>
      <c r="K96" s="10">
        <v>2640</v>
      </c>
      <c r="L96" s="10">
        <v>1644</v>
      </c>
      <c r="M96" s="10">
        <v>1675</v>
      </c>
      <c r="N96" s="10">
        <v>7.27</v>
      </c>
      <c r="O96" s="10">
        <v>144</v>
      </c>
      <c r="P96" s="10">
        <v>1</v>
      </c>
      <c r="Q96" s="10" t="s">
        <v>305</v>
      </c>
      <c r="R96" s="10" t="s">
        <v>183</v>
      </c>
      <c r="S96" s="10">
        <v>4544</v>
      </c>
      <c r="T96" s="10">
        <v>4400</v>
      </c>
      <c r="U96" s="14" t="s">
        <v>1402</v>
      </c>
    </row>
    <row r="97" spans="1:21" ht="15" x14ac:dyDescent="0.35">
      <c r="A97" s="9">
        <v>100</v>
      </c>
      <c r="B97" s="10" t="s">
        <v>323</v>
      </c>
      <c r="C97" s="10" t="s">
        <v>178</v>
      </c>
      <c r="D97" s="10" t="s">
        <v>179</v>
      </c>
      <c r="E97" s="10" t="s">
        <v>173</v>
      </c>
      <c r="F97" s="10" t="s">
        <v>16</v>
      </c>
      <c r="G97" s="10">
        <v>500</v>
      </c>
      <c r="H97" s="10">
        <v>750</v>
      </c>
      <c r="I97" s="10" t="s">
        <v>17</v>
      </c>
      <c r="J97" s="10" t="s">
        <v>324</v>
      </c>
      <c r="K97" s="10">
        <v>2740</v>
      </c>
      <c r="L97" s="10">
        <v>1644</v>
      </c>
      <c r="M97" s="10">
        <v>1740</v>
      </c>
      <c r="N97" s="10">
        <v>7.84</v>
      </c>
      <c r="O97" s="10">
        <v>144</v>
      </c>
      <c r="P97" s="10">
        <v>1</v>
      </c>
      <c r="Q97" s="10" t="s">
        <v>312</v>
      </c>
      <c r="R97" s="10" t="s">
        <v>287</v>
      </c>
      <c r="S97" s="10">
        <v>5014</v>
      </c>
      <c r="T97" s="10">
        <v>4870</v>
      </c>
      <c r="U97" s="14" t="s">
        <v>1402</v>
      </c>
    </row>
    <row r="98" spans="1:21" ht="15" x14ac:dyDescent="0.35">
      <c r="A98" s="9">
        <v>101</v>
      </c>
      <c r="B98" s="10" t="s">
        <v>325</v>
      </c>
      <c r="C98" s="10" t="s">
        <v>178</v>
      </c>
      <c r="D98" s="10" t="s">
        <v>179</v>
      </c>
      <c r="E98" s="10" t="s">
        <v>173</v>
      </c>
      <c r="F98" s="10" t="s">
        <v>41</v>
      </c>
      <c r="G98" s="10">
        <v>500</v>
      </c>
      <c r="H98" s="10">
        <v>750</v>
      </c>
      <c r="I98" s="10" t="s">
        <v>17</v>
      </c>
      <c r="J98" s="10" t="s">
        <v>174</v>
      </c>
      <c r="K98" s="10">
        <v>2580</v>
      </c>
      <c r="L98" s="10">
        <v>1644</v>
      </c>
      <c r="M98" s="10">
        <v>1670</v>
      </c>
      <c r="N98" s="10">
        <v>7.08</v>
      </c>
      <c r="O98" s="10">
        <v>142</v>
      </c>
      <c r="P98" s="10">
        <v>1</v>
      </c>
      <c r="Q98" s="10" t="s">
        <v>175</v>
      </c>
      <c r="R98" s="10" t="s">
        <v>187</v>
      </c>
      <c r="S98" s="10">
        <v>4842</v>
      </c>
      <c r="T98" s="10">
        <v>4700</v>
      </c>
      <c r="U98" s="14" t="s">
        <v>1402</v>
      </c>
    </row>
    <row r="99" spans="1:21" ht="15" x14ac:dyDescent="0.35">
      <c r="A99" s="9">
        <v>102</v>
      </c>
      <c r="B99" s="10" t="s">
        <v>326</v>
      </c>
      <c r="C99" s="10" t="s">
        <v>178</v>
      </c>
      <c r="D99" s="10" t="s">
        <v>179</v>
      </c>
      <c r="E99" s="10" t="s">
        <v>327</v>
      </c>
      <c r="F99" s="10" t="s">
        <v>16</v>
      </c>
      <c r="G99" s="10">
        <v>500</v>
      </c>
      <c r="H99" s="10">
        <v>750</v>
      </c>
      <c r="I99" s="10" t="s">
        <v>17</v>
      </c>
      <c r="J99" s="10" t="s">
        <v>297</v>
      </c>
      <c r="K99" s="10">
        <v>2640</v>
      </c>
      <c r="L99" s="10">
        <v>1644</v>
      </c>
      <c r="M99" s="10">
        <v>1675</v>
      </c>
      <c r="N99" s="10">
        <v>7.27</v>
      </c>
      <c r="O99" s="10">
        <v>144</v>
      </c>
      <c r="P99" s="10">
        <v>1</v>
      </c>
      <c r="Q99" s="10" t="s">
        <v>305</v>
      </c>
      <c r="R99" s="10" t="s">
        <v>183</v>
      </c>
      <c r="S99" s="10">
        <v>5475</v>
      </c>
      <c r="T99" s="10">
        <v>5331</v>
      </c>
      <c r="U99" s="14" t="s">
        <v>1402</v>
      </c>
    </row>
    <row r="100" spans="1:21" ht="15" x14ac:dyDescent="0.35">
      <c r="A100" s="9">
        <v>103</v>
      </c>
      <c r="B100" s="10" t="s">
        <v>328</v>
      </c>
      <c r="C100" s="10" t="s">
        <v>329</v>
      </c>
      <c r="D100" s="10" t="s">
        <v>330</v>
      </c>
      <c r="E100" s="10" t="s">
        <v>331</v>
      </c>
      <c r="F100" s="10" t="s">
        <v>16</v>
      </c>
      <c r="G100" s="10">
        <v>450</v>
      </c>
      <c r="H100" s="10">
        <v>814</v>
      </c>
      <c r="I100" s="10" t="s">
        <v>17</v>
      </c>
      <c r="J100" s="10" t="s">
        <v>332</v>
      </c>
      <c r="K100" s="10">
        <v>1887</v>
      </c>
      <c r="L100" s="10">
        <v>1414</v>
      </c>
      <c r="M100" s="10">
        <v>1677</v>
      </c>
      <c r="N100" s="10">
        <v>4.47</v>
      </c>
      <c r="O100" s="10">
        <v>97</v>
      </c>
      <c r="P100" s="10">
        <v>1</v>
      </c>
      <c r="Q100" s="10" t="s">
        <v>333</v>
      </c>
      <c r="R100" s="10" t="s">
        <v>334</v>
      </c>
      <c r="S100" s="10">
        <v>3828</v>
      </c>
      <c r="T100" s="10">
        <v>3731</v>
      </c>
      <c r="U100" s="14" t="s">
        <v>1402</v>
      </c>
    </row>
    <row r="101" spans="1:21" ht="15" x14ac:dyDescent="0.35">
      <c r="A101" s="9">
        <v>104</v>
      </c>
      <c r="B101" s="10" t="s">
        <v>335</v>
      </c>
      <c r="C101" s="10" t="s">
        <v>329</v>
      </c>
      <c r="D101" s="10" t="s">
        <v>330</v>
      </c>
      <c r="E101" s="10" t="s">
        <v>336</v>
      </c>
      <c r="F101" s="10" t="s">
        <v>41</v>
      </c>
      <c r="G101" s="10">
        <v>450</v>
      </c>
      <c r="H101" s="10">
        <v>814</v>
      </c>
      <c r="I101" s="10" t="s">
        <v>17</v>
      </c>
      <c r="J101" s="10" t="s">
        <v>332</v>
      </c>
      <c r="K101" s="10">
        <v>1887</v>
      </c>
      <c r="L101" s="10">
        <v>1414</v>
      </c>
      <c r="M101" s="10">
        <v>1677</v>
      </c>
      <c r="N101" s="10">
        <v>4.47</v>
      </c>
      <c r="O101" s="10">
        <v>97</v>
      </c>
      <c r="P101" s="10">
        <v>1</v>
      </c>
      <c r="Q101" s="10" t="s">
        <v>333</v>
      </c>
      <c r="R101" s="10" t="s">
        <v>334</v>
      </c>
      <c r="S101" s="10">
        <v>4077</v>
      </c>
      <c r="T101" s="10">
        <v>3980</v>
      </c>
      <c r="U101" s="14" t="s">
        <v>1402</v>
      </c>
    </row>
    <row r="102" spans="1:21" ht="15" x14ac:dyDescent="0.35">
      <c r="A102" s="9">
        <v>105</v>
      </c>
      <c r="C102" s="10" t="s">
        <v>329</v>
      </c>
      <c r="D102" s="10" t="s">
        <v>330</v>
      </c>
      <c r="E102" s="10" t="s">
        <v>337</v>
      </c>
      <c r="F102" s="10" t="s">
        <v>77</v>
      </c>
      <c r="G102" s="10">
        <v>450</v>
      </c>
      <c r="H102" s="10">
        <v>814</v>
      </c>
      <c r="I102" s="10" t="s">
        <v>17</v>
      </c>
      <c r="J102" s="10" t="s">
        <v>338</v>
      </c>
      <c r="K102" s="10">
        <v>1887</v>
      </c>
      <c r="L102" s="10">
        <v>1414</v>
      </c>
      <c r="M102" s="10">
        <v>1730</v>
      </c>
      <c r="N102" s="10">
        <v>4.62</v>
      </c>
      <c r="O102" s="10">
        <v>97</v>
      </c>
      <c r="P102" s="50"/>
      <c r="Q102" s="50" t="s">
        <v>339</v>
      </c>
      <c r="R102" s="50" t="s">
        <v>334</v>
      </c>
      <c r="S102" s="10">
        <v>4527</v>
      </c>
      <c r="T102" s="10">
        <f>S102-O102</f>
        <v>4430</v>
      </c>
      <c r="U102" s="14" t="s">
        <v>1402</v>
      </c>
    </row>
    <row r="103" spans="1:21" ht="15" x14ac:dyDescent="0.35">
      <c r="A103" s="9">
        <v>106</v>
      </c>
      <c r="B103" s="10" t="s">
        <v>340</v>
      </c>
      <c r="C103" s="10" t="s">
        <v>329</v>
      </c>
      <c r="D103" s="10" t="s">
        <v>330</v>
      </c>
      <c r="E103" s="10" t="s">
        <v>341</v>
      </c>
      <c r="F103" s="10" t="s">
        <v>16</v>
      </c>
      <c r="G103" s="10">
        <v>450</v>
      </c>
      <c r="H103" s="10">
        <v>814</v>
      </c>
      <c r="I103" s="10" t="s">
        <v>17</v>
      </c>
      <c r="J103" s="10" t="s">
        <v>342</v>
      </c>
      <c r="K103" s="10">
        <v>2087</v>
      </c>
      <c r="L103" s="10">
        <v>1414</v>
      </c>
      <c r="M103" s="10">
        <v>1677</v>
      </c>
      <c r="N103" s="10">
        <v>4.95</v>
      </c>
      <c r="O103" s="10">
        <v>102</v>
      </c>
      <c r="P103" s="10">
        <v>1</v>
      </c>
      <c r="Q103" s="10" t="s">
        <v>343</v>
      </c>
      <c r="R103" s="10" t="s">
        <v>334</v>
      </c>
      <c r="S103" s="10">
        <v>4532</v>
      </c>
      <c r="T103" s="10">
        <v>4430</v>
      </c>
      <c r="U103" s="14" t="s">
        <v>1402</v>
      </c>
    </row>
    <row r="104" spans="1:21" ht="15" x14ac:dyDescent="0.35">
      <c r="A104" s="9">
        <v>107</v>
      </c>
      <c r="C104" s="10" t="s">
        <v>329</v>
      </c>
      <c r="D104" s="10" t="s">
        <v>330</v>
      </c>
      <c r="E104" s="10" t="s">
        <v>344</v>
      </c>
      <c r="F104" s="10" t="s">
        <v>16</v>
      </c>
      <c r="G104" s="10">
        <v>450</v>
      </c>
      <c r="H104" s="10">
        <v>814</v>
      </c>
      <c r="I104" s="10" t="s">
        <v>17</v>
      </c>
      <c r="J104" s="10" t="s">
        <v>342</v>
      </c>
      <c r="K104" s="10">
        <v>2087</v>
      </c>
      <c r="L104" s="10">
        <v>1414</v>
      </c>
      <c r="M104" s="10">
        <v>1677</v>
      </c>
      <c r="N104" s="10">
        <v>4.95</v>
      </c>
      <c r="O104" s="10">
        <v>102</v>
      </c>
      <c r="P104" s="10">
        <v>1</v>
      </c>
      <c r="Q104" s="10" t="s">
        <v>343</v>
      </c>
      <c r="R104" s="10" t="s">
        <v>334</v>
      </c>
      <c r="S104" s="10">
        <v>5030</v>
      </c>
      <c r="T104" s="10">
        <f>S104-O104</f>
        <v>4928</v>
      </c>
      <c r="U104" s="14" t="s">
        <v>1402</v>
      </c>
    </row>
    <row r="105" spans="1:21" ht="15" x14ac:dyDescent="0.35">
      <c r="A105" s="9">
        <v>108</v>
      </c>
      <c r="B105" s="49"/>
      <c r="C105" s="49" t="s">
        <v>330</v>
      </c>
      <c r="D105" s="49" t="s">
        <v>330</v>
      </c>
      <c r="E105" s="10" t="s">
        <v>89</v>
      </c>
      <c r="F105" s="10" t="s">
        <v>90</v>
      </c>
      <c r="I105" s="10" t="s">
        <v>11</v>
      </c>
      <c r="J105" s="10" t="s">
        <v>345</v>
      </c>
      <c r="K105" s="10">
        <v>2280</v>
      </c>
      <c r="L105" s="10">
        <v>1394</v>
      </c>
      <c r="M105" s="10">
        <v>1520</v>
      </c>
      <c r="O105" s="10">
        <v>104</v>
      </c>
      <c r="Q105" s="10" t="s">
        <v>346</v>
      </c>
      <c r="R105" s="10" t="s">
        <v>1441</v>
      </c>
      <c r="S105" s="50"/>
      <c r="U105" s="14" t="s">
        <v>1402</v>
      </c>
    </row>
    <row r="106" spans="1:21" ht="15" x14ac:dyDescent="0.35">
      <c r="A106" s="9">
        <v>109</v>
      </c>
      <c r="B106" s="49"/>
      <c r="C106" s="49" t="s">
        <v>330</v>
      </c>
      <c r="D106" s="49" t="s">
        <v>330</v>
      </c>
      <c r="E106" s="10" t="s">
        <v>89</v>
      </c>
      <c r="F106" s="10" t="s">
        <v>90</v>
      </c>
      <c r="I106" s="10" t="s">
        <v>11</v>
      </c>
      <c r="J106" s="10" t="s">
        <v>347</v>
      </c>
      <c r="K106" s="10">
        <v>2390</v>
      </c>
      <c r="L106" s="10">
        <v>1394</v>
      </c>
      <c r="M106" s="10">
        <v>1520</v>
      </c>
      <c r="O106" s="10">
        <v>111</v>
      </c>
      <c r="Q106" s="10" t="s">
        <v>348</v>
      </c>
      <c r="R106" s="10" t="s">
        <v>1442</v>
      </c>
      <c r="S106" s="50"/>
      <c r="U106" s="14" t="s">
        <v>1402</v>
      </c>
    </row>
    <row r="107" spans="1:21" ht="15" x14ac:dyDescent="0.35">
      <c r="A107" s="9">
        <v>110</v>
      </c>
      <c r="B107" s="49"/>
      <c r="C107" s="49" t="s">
        <v>330</v>
      </c>
      <c r="D107" s="49" t="s">
        <v>330</v>
      </c>
      <c r="E107" s="10" t="s">
        <v>89</v>
      </c>
      <c r="F107" s="10" t="s">
        <v>77</v>
      </c>
      <c r="I107" s="10" t="s">
        <v>11</v>
      </c>
      <c r="J107" s="10" t="s">
        <v>349</v>
      </c>
      <c r="K107" s="10">
        <v>2080</v>
      </c>
      <c r="L107" s="10">
        <v>1394</v>
      </c>
      <c r="M107" s="10">
        <v>1520</v>
      </c>
      <c r="O107" s="10">
        <v>99</v>
      </c>
      <c r="Q107" s="10" t="s">
        <v>350</v>
      </c>
      <c r="R107" s="10" t="s">
        <v>1443</v>
      </c>
      <c r="S107" s="50"/>
      <c r="U107" s="14" t="s">
        <v>1402</v>
      </c>
    </row>
    <row r="108" spans="1:21" ht="15" x14ac:dyDescent="0.35">
      <c r="A108" s="9">
        <v>111</v>
      </c>
      <c r="B108" s="49"/>
      <c r="C108" s="49" t="s">
        <v>330</v>
      </c>
      <c r="D108" s="49" t="s">
        <v>330</v>
      </c>
      <c r="E108" s="10" t="s">
        <v>89</v>
      </c>
      <c r="F108" s="10" t="s">
        <v>77</v>
      </c>
      <c r="I108" s="10" t="s">
        <v>11</v>
      </c>
      <c r="J108" s="10" t="s">
        <v>351</v>
      </c>
      <c r="K108" s="10">
        <v>2240</v>
      </c>
      <c r="L108" s="10">
        <v>1394</v>
      </c>
      <c r="M108" s="10">
        <v>1520</v>
      </c>
      <c r="O108" s="10">
        <v>104</v>
      </c>
      <c r="Q108" s="10" t="s">
        <v>352</v>
      </c>
      <c r="R108" s="10" t="s">
        <v>1444</v>
      </c>
      <c r="S108" s="50"/>
      <c r="U108" s="14" t="s">
        <v>1402</v>
      </c>
    </row>
    <row r="109" spans="1:21" ht="15" x14ac:dyDescent="0.35">
      <c r="A109" s="9">
        <v>112</v>
      </c>
      <c r="B109" s="10" t="s">
        <v>353</v>
      </c>
      <c r="C109" s="10" t="s">
        <v>354</v>
      </c>
      <c r="D109" s="10" t="s">
        <v>330</v>
      </c>
      <c r="E109" s="10" t="s">
        <v>355</v>
      </c>
      <c r="F109" s="10" t="s">
        <v>16</v>
      </c>
      <c r="G109" s="10">
        <v>297</v>
      </c>
      <c r="H109" s="10">
        <v>1070</v>
      </c>
      <c r="I109" s="10" t="s">
        <v>17</v>
      </c>
      <c r="J109" s="10" t="s">
        <v>356</v>
      </c>
      <c r="K109" s="10">
        <v>2390</v>
      </c>
      <c r="L109" s="10">
        <v>1780</v>
      </c>
      <c r="M109" s="10">
        <v>1520</v>
      </c>
      <c r="N109" s="10">
        <v>6.47</v>
      </c>
      <c r="O109" s="10">
        <v>97</v>
      </c>
      <c r="P109" s="10">
        <v>1</v>
      </c>
      <c r="Q109" s="10" t="s">
        <v>357</v>
      </c>
      <c r="R109" s="10" t="s">
        <v>358</v>
      </c>
      <c r="S109" s="10">
        <v>5047</v>
      </c>
      <c r="T109" s="10">
        <v>4950</v>
      </c>
      <c r="U109" s="14" t="s">
        <v>1402</v>
      </c>
    </row>
    <row r="110" spans="1:21" ht="15" x14ac:dyDescent="0.35">
      <c r="A110" s="9">
        <v>113</v>
      </c>
      <c r="B110" s="10" t="s">
        <v>359</v>
      </c>
      <c r="C110" s="10" t="s">
        <v>354</v>
      </c>
      <c r="D110" s="10" t="s">
        <v>330</v>
      </c>
      <c r="E110" s="10" t="s">
        <v>355</v>
      </c>
      <c r="F110" s="10" t="s">
        <v>16</v>
      </c>
      <c r="G110" s="10">
        <v>350</v>
      </c>
      <c r="H110" s="10">
        <v>1250</v>
      </c>
      <c r="I110" s="10" t="s">
        <v>24</v>
      </c>
      <c r="J110" s="10" t="s">
        <v>360</v>
      </c>
      <c r="K110" s="10">
        <v>2530</v>
      </c>
      <c r="L110" s="10">
        <v>1894</v>
      </c>
      <c r="M110" s="10">
        <v>1912</v>
      </c>
      <c r="N110" s="10">
        <v>9.16</v>
      </c>
      <c r="O110" s="10">
        <v>180</v>
      </c>
      <c r="P110" s="10">
        <v>1</v>
      </c>
      <c r="Q110" s="10" t="s">
        <v>361</v>
      </c>
      <c r="R110" s="10" t="s">
        <v>362</v>
      </c>
      <c r="S110" s="10">
        <v>6150</v>
      </c>
      <c r="T110" s="10">
        <v>5970</v>
      </c>
      <c r="U110" s="14" t="s">
        <v>1402</v>
      </c>
    </row>
    <row r="111" spans="1:21" ht="15" x14ac:dyDescent="0.35">
      <c r="A111" s="9">
        <v>114</v>
      </c>
      <c r="B111" s="10" t="s">
        <v>363</v>
      </c>
      <c r="C111" s="10" t="s">
        <v>354</v>
      </c>
      <c r="D111" s="10" t="s">
        <v>330</v>
      </c>
      <c r="E111" s="10" t="s">
        <v>355</v>
      </c>
      <c r="F111" s="10" t="s">
        <v>41</v>
      </c>
      <c r="G111" s="10">
        <v>500</v>
      </c>
      <c r="H111" s="10">
        <v>750</v>
      </c>
      <c r="I111" s="10" t="s">
        <v>17</v>
      </c>
      <c r="J111" s="10" t="s">
        <v>364</v>
      </c>
      <c r="K111" s="10">
        <v>2240</v>
      </c>
      <c r="L111" s="10">
        <v>1394</v>
      </c>
      <c r="M111" s="10">
        <v>1730</v>
      </c>
      <c r="N111" s="10">
        <v>5.4</v>
      </c>
      <c r="O111" s="10">
        <v>104</v>
      </c>
      <c r="P111" s="10">
        <v>1</v>
      </c>
      <c r="Q111" s="10" t="s">
        <v>365</v>
      </c>
      <c r="R111" s="10" t="s">
        <v>366</v>
      </c>
      <c r="S111" s="10">
        <v>5064</v>
      </c>
      <c r="T111" s="10">
        <v>4960</v>
      </c>
      <c r="U111" s="14" t="s">
        <v>1402</v>
      </c>
    </row>
    <row r="112" spans="1:21" ht="15" x14ac:dyDescent="0.35">
      <c r="A112" s="9">
        <v>115</v>
      </c>
      <c r="B112" s="10" t="s">
        <v>367</v>
      </c>
      <c r="C112" s="10" t="s">
        <v>354</v>
      </c>
      <c r="D112" s="10" t="s">
        <v>330</v>
      </c>
      <c r="E112" s="10" t="s">
        <v>368</v>
      </c>
      <c r="F112" s="10" t="s">
        <v>16</v>
      </c>
      <c r="G112" s="10">
        <v>500</v>
      </c>
      <c r="H112" s="10">
        <v>750</v>
      </c>
      <c r="I112" s="10" t="s">
        <v>17</v>
      </c>
      <c r="J112" s="10" t="s">
        <v>369</v>
      </c>
      <c r="K112" s="10">
        <v>2030</v>
      </c>
      <c r="L112" s="10">
        <v>1394</v>
      </c>
      <c r="M112" s="10">
        <v>1730</v>
      </c>
      <c r="N112" s="10">
        <v>4.9000000000000004</v>
      </c>
      <c r="O112" s="10">
        <v>102</v>
      </c>
      <c r="P112" s="10">
        <v>1</v>
      </c>
      <c r="Q112" s="10" t="s">
        <v>370</v>
      </c>
      <c r="R112" s="10" t="s">
        <v>366</v>
      </c>
      <c r="S112" s="10">
        <v>4578</v>
      </c>
      <c r="T112" s="10">
        <v>4476</v>
      </c>
      <c r="U112" s="14" t="s">
        <v>1402</v>
      </c>
    </row>
    <row r="113" spans="1:21" ht="15" x14ac:dyDescent="0.35">
      <c r="A113" s="9">
        <v>116</v>
      </c>
      <c r="B113" s="10" t="s">
        <v>371</v>
      </c>
      <c r="C113" s="10" t="s">
        <v>354</v>
      </c>
      <c r="D113" s="10" t="s">
        <v>330</v>
      </c>
      <c r="E113" s="10" t="s">
        <v>368</v>
      </c>
      <c r="F113" s="10" t="s">
        <v>41</v>
      </c>
      <c r="G113" s="10">
        <v>500</v>
      </c>
      <c r="H113" s="10">
        <v>750</v>
      </c>
      <c r="I113" s="10" t="s">
        <v>17</v>
      </c>
      <c r="J113" s="10" t="s">
        <v>372</v>
      </c>
      <c r="K113" s="10">
        <v>2240</v>
      </c>
      <c r="L113" s="10">
        <v>1394</v>
      </c>
      <c r="M113" s="10">
        <v>1750</v>
      </c>
      <c r="N113" s="10">
        <v>5.46</v>
      </c>
      <c r="O113" s="10">
        <v>108</v>
      </c>
      <c r="P113" s="10">
        <v>1</v>
      </c>
      <c r="Q113" s="10" t="s">
        <v>365</v>
      </c>
      <c r="R113" s="10" t="s">
        <v>366</v>
      </c>
      <c r="S113" s="10">
        <v>4616</v>
      </c>
      <c r="T113" s="10">
        <v>4508</v>
      </c>
      <c r="U113" s="14" t="s">
        <v>1402</v>
      </c>
    </row>
    <row r="114" spans="1:21" ht="15" x14ac:dyDescent="0.35">
      <c r="A114" s="9">
        <v>117</v>
      </c>
      <c r="B114" s="10" t="s">
        <v>373</v>
      </c>
      <c r="C114" s="10" t="s">
        <v>354</v>
      </c>
      <c r="D114" s="10" t="s">
        <v>330</v>
      </c>
      <c r="E114" s="10" t="s">
        <v>374</v>
      </c>
      <c r="F114" s="10" t="s">
        <v>41</v>
      </c>
      <c r="G114" s="10">
        <v>500</v>
      </c>
      <c r="H114" s="10">
        <v>750</v>
      </c>
      <c r="I114" s="10" t="s">
        <v>17</v>
      </c>
      <c r="J114" s="10" t="s">
        <v>375</v>
      </c>
      <c r="K114" s="10">
        <v>2080</v>
      </c>
      <c r="L114" s="10">
        <v>1394</v>
      </c>
      <c r="M114" s="10">
        <v>1750</v>
      </c>
      <c r="N114" s="10">
        <v>5.07</v>
      </c>
      <c r="O114" s="10">
        <v>97</v>
      </c>
      <c r="P114" s="10">
        <v>1</v>
      </c>
      <c r="Q114" s="10" t="s">
        <v>376</v>
      </c>
      <c r="R114" s="10" t="s">
        <v>377</v>
      </c>
      <c r="S114" s="10">
        <v>5077</v>
      </c>
      <c r="T114" s="10">
        <v>4980</v>
      </c>
      <c r="U114" s="14" t="s">
        <v>1402</v>
      </c>
    </row>
    <row r="115" spans="1:21" ht="15" x14ac:dyDescent="0.35">
      <c r="A115" s="9">
        <v>118</v>
      </c>
      <c r="B115" s="49"/>
      <c r="C115" s="49" t="s">
        <v>330</v>
      </c>
      <c r="D115" s="49" t="s">
        <v>330</v>
      </c>
      <c r="E115" s="10" t="s">
        <v>131</v>
      </c>
      <c r="F115" s="10" t="s">
        <v>90</v>
      </c>
      <c r="I115" s="10" t="s">
        <v>11</v>
      </c>
      <c r="J115" s="10" t="s">
        <v>378</v>
      </c>
      <c r="K115" s="10">
        <v>2080</v>
      </c>
      <c r="L115" s="10">
        <v>1394</v>
      </c>
      <c r="M115" s="10">
        <v>2000</v>
      </c>
      <c r="O115" s="10">
        <v>98</v>
      </c>
      <c r="Q115" s="10" t="s">
        <v>379</v>
      </c>
      <c r="R115" s="10" t="s">
        <v>1445</v>
      </c>
      <c r="S115" s="50"/>
      <c r="T115" s="50"/>
      <c r="U115" s="14" t="s">
        <v>1402</v>
      </c>
    </row>
    <row r="116" spans="1:21" ht="15" x14ac:dyDescent="0.35">
      <c r="A116" s="9">
        <v>119</v>
      </c>
      <c r="B116" s="49"/>
      <c r="C116" s="49" t="s">
        <v>330</v>
      </c>
      <c r="D116" s="49" t="s">
        <v>330</v>
      </c>
      <c r="E116" s="10" t="s">
        <v>131</v>
      </c>
      <c r="F116" s="10" t="s">
        <v>90</v>
      </c>
      <c r="I116" s="10" t="s">
        <v>11</v>
      </c>
      <c r="J116" s="10" t="s">
        <v>380</v>
      </c>
      <c r="K116" s="10">
        <v>2190</v>
      </c>
      <c r="L116" s="10">
        <v>1394</v>
      </c>
      <c r="M116" s="10">
        <v>2000</v>
      </c>
      <c r="O116" s="10">
        <v>103</v>
      </c>
      <c r="Q116" s="10" t="s">
        <v>381</v>
      </c>
      <c r="R116" s="10" t="s">
        <v>1446</v>
      </c>
      <c r="S116" s="50"/>
      <c r="T116" s="50"/>
      <c r="U116" s="14" t="s">
        <v>1402</v>
      </c>
    </row>
    <row r="117" spans="1:21" ht="15" x14ac:dyDescent="0.35">
      <c r="A117" s="9">
        <v>120</v>
      </c>
      <c r="B117" s="49"/>
      <c r="C117" s="49" t="s">
        <v>330</v>
      </c>
      <c r="D117" s="49" t="s">
        <v>330</v>
      </c>
      <c r="E117" s="10" t="s">
        <v>131</v>
      </c>
      <c r="F117" s="10" t="s">
        <v>77</v>
      </c>
      <c r="I117" s="10" t="s">
        <v>11</v>
      </c>
      <c r="J117" s="10" t="s">
        <v>382</v>
      </c>
      <c r="K117" s="10">
        <v>1880</v>
      </c>
      <c r="L117" s="10">
        <v>1394</v>
      </c>
      <c r="M117" s="10">
        <v>2000</v>
      </c>
      <c r="O117" s="10">
        <v>93</v>
      </c>
      <c r="Q117" s="10" t="s">
        <v>383</v>
      </c>
      <c r="R117" s="10" t="s">
        <v>1447</v>
      </c>
      <c r="S117" s="50"/>
      <c r="T117" s="50"/>
      <c r="U117" s="14" t="s">
        <v>1402</v>
      </c>
    </row>
    <row r="118" spans="1:21" ht="15" x14ac:dyDescent="0.35">
      <c r="A118" s="9">
        <v>121</v>
      </c>
      <c r="B118" s="49"/>
      <c r="C118" s="49" t="s">
        <v>330</v>
      </c>
      <c r="D118" s="49" t="s">
        <v>330</v>
      </c>
      <c r="E118" s="10" t="s">
        <v>131</v>
      </c>
      <c r="F118" s="10" t="s">
        <v>77</v>
      </c>
      <c r="I118" s="10" t="s">
        <v>11</v>
      </c>
      <c r="J118" s="10" t="s">
        <v>384</v>
      </c>
      <c r="K118" s="10">
        <v>2040</v>
      </c>
      <c r="L118" s="10">
        <v>1394</v>
      </c>
      <c r="M118" s="10">
        <v>2000</v>
      </c>
      <c r="O118" s="10">
        <v>98</v>
      </c>
      <c r="Q118" s="10" t="s">
        <v>385</v>
      </c>
      <c r="R118" s="10" t="s">
        <v>1448</v>
      </c>
      <c r="S118" s="50"/>
      <c r="T118" s="50"/>
      <c r="U118" s="14" t="s">
        <v>1402</v>
      </c>
    </row>
    <row r="119" spans="1:21" ht="15" x14ac:dyDescent="0.35">
      <c r="A119" s="9">
        <v>122</v>
      </c>
      <c r="B119" s="10" t="s">
        <v>386</v>
      </c>
      <c r="C119" s="10" t="s">
        <v>354</v>
      </c>
      <c r="D119" s="10" t="s">
        <v>330</v>
      </c>
      <c r="E119" s="10" t="s">
        <v>387</v>
      </c>
      <c r="F119" s="10" t="s">
        <v>16</v>
      </c>
      <c r="G119" s="10">
        <v>500</v>
      </c>
      <c r="H119" s="10">
        <v>750</v>
      </c>
      <c r="I119" s="10" t="s">
        <v>24</v>
      </c>
      <c r="J119" s="10" t="s">
        <v>388</v>
      </c>
      <c r="K119" s="10">
        <v>2260</v>
      </c>
      <c r="L119" s="10">
        <v>1394</v>
      </c>
      <c r="M119" s="10">
        <v>1800</v>
      </c>
      <c r="N119" s="10">
        <v>5.67</v>
      </c>
      <c r="O119" s="10">
        <v>108</v>
      </c>
      <c r="P119" s="10">
        <v>1</v>
      </c>
      <c r="R119" s="10" t="s">
        <v>389</v>
      </c>
      <c r="S119" s="10">
        <v>3856</v>
      </c>
      <c r="T119" s="10">
        <v>3748</v>
      </c>
      <c r="U119" s="14" t="s">
        <v>1402</v>
      </c>
    </row>
    <row r="120" spans="1:21" ht="15" x14ac:dyDescent="0.35">
      <c r="A120" s="9">
        <v>123</v>
      </c>
      <c r="B120" s="10" t="s">
        <v>390</v>
      </c>
      <c r="C120" s="10" t="s">
        <v>354</v>
      </c>
      <c r="D120" s="10" t="s">
        <v>330</v>
      </c>
      <c r="E120" s="10" t="s">
        <v>387</v>
      </c>
      <c r="F120" s="10" t="s">
        <v>41</v>
      </c>
      <c r="G120" s="10">
        <v>500</v>
      </c>
      <c r="H120" s="10">
        <v>750</v>
      </c>
      <c r="I120" s="10" t="s">
        <v>17</v>
      </c>
      <c r="J120" s="10" t="s">
        <v>391</v>
      </c>
      <c r="K120" s="10">
        <v>1880</v>
      </c>
      <c r="L120" s="10">
        <v>1394</v>
      </c>
      <c r="M120" s="10">
        <v>1750</v>
      </c>
      <c r="N120" s="10">
        <v>4.59</v>
      </c>
      <c r="O120" s="10">
        <v>97</v>
      </c>
      <c r="P120" s="10">
        <v>1</v>
      </c>
      <c r="Q120" s="10" t="s">
        <v>392</v>
      </c>
      <c r="R120" s="10" t="s">
        <v>377</v>
      </c>
      <c r="S120" s="10">
        <v>3815</v>
      </c>
      <c r="T120" s="10">
        <v>3718</v>
      </c>
      <c r="U120" s="14" t="s">
        <v>1402</v>
      </c>
    </row>
    <row r="121" spans="1:21" ht="15" x14ac:dyDescent="0.35">
      <c r="A121" s="9">
        <v>124</v>
      </c>
      <c r="B121" s="10" t="s">
        <v>393</v>
      </c>
      <c r="C121" s="10" t="s">
        <v>354</v>
      </c>
      <c r="D121" s="10" t="s">
        <v>330</v>
      </c>
      <c r="E121" s="10" t="s">
        <v>394</v>
      </c>
      <c r="F121" s="10" t="s">
        <v>16</v>
      </c>
      <c r="G121" s="10">
        <v>500</v>
      </c>
      <c r="H121" s="10">
        <v>750</v>
      </c>
      <c r="I121" s="10" t="s">
        <v>24</v>
      </c>
      <c r="J121" s="10" t="s">
        <v>395</v>
      </c>
      <c r="K121" s="10">
        <v>2190</v>
      </c>
      <c r="L121" s="10">
        <v>1694</v>
      </c>
      <c r="M121" s="10">
        <v>1650</v>
      </c>
      <c r="N121" s="10">
        <v>6.12</v>
      </c>
      <c r="O121" s="10">
        <v>108</v>
      </c>
      <c r="P121" s="10">
        <v>1</v>
      </c>
      <c r="Q121" s="10" t="s">
        <v>396</v>
      </c>
      <c r="R121" s="10" t="s">
        <v>397</v>
      </c>
      <c r="S121" s="10">
        <v>3858</v>
      </c>
      <c r="T121" s="10">
        <v>3750</v>
      </c>
      <c r="U121" s="14" t="s">
        <v>1402</v>
      </c>
    </row>
    <row r="122" spans="1:21" ht="15" x14ac:dyDescent="0.35">
      <c r="A122" s="9">
        <v>125</v>
      </c>
      <c r="B122" s="10" t="s">
        <v>398</v>
      </c>
      <c r="C122" s="10" t="s">
        <v>354</v>
      </c>
      <c r="D122" s="10" t="s">
        <v>330</v>
      </c>
      <c r="E122" s="10" t="s">
        <v>394</v>
      </c>
      <c r="F122" s="10" t="s">
        <v>41</v>
      </c>
      <c r="G122" s="10">
        <v>500</v>
      </c>
      <c r="H122" s="10">
        <v>750</v>
      </c>
      <c r="I122" s="10" t="s">
        <v>17</v>
      </c>
      <c r="J122" s="10" t="s">
        <v>399</v>
      </c>
      <c r="K122" s="10">
        <v>1880</v>
      </c>
      <c r="L122" s="10">
        <v>1394</v>
      </c>
      <c r="M122" s="10">
        <v>1730</v>
      </c>
      <c r="N122" s="10">
        <v>4.53</v>
      </c>
      <c r="O122" s="10">
        <v>97</v>
      </c>
      <c r="P122" s="10">
        <v>1</v>
      </c>
      <c r="Q122" s="10" t="s">
        <v>392</v>
      </c>
      <c r="R122" s="10" t="s">
        <v>366</v>
      </c>
      <c r="S122" s="10">
        <v>3838</v>
      </c>
      <c r="T122" s="10">
        <v>3741</v>
      </c>
      <c r="U122" s="14" t="s">
        <v>1402</v>
      </c>
    </row>
    <row r="123" spans="1:21" ht="17" customHeight="1" x14ac:dyDescent="0.35">
      <c r="A123" s="9">
        <v>126</v>
      </c>
      <c r="B123" s="10" t="s">
        <v>400</v>
      </c>
      <c r="C123" s="10" t="s">
        <v>354</v>
      </c>
      <c r="D123" s="10" t="s">
        <v>330</v>
      </c>
      <c r="E123" s="10" t="s">
        <v>401</v>
      </c>
      <c r="F123" s="10" t="s">
        <v>41</v>
      </c>
      <c r="G123" s="10">
        <v>500</v>
      </c>
      <c r="H123" s="10">
        <v>750</v>
      </c>
      <c r="I123" s="10" t="s">
        <v>17</v>
      </c>
      <c r="J123" s="10" t="s">
        <v>399</v>
      </c>
      <c r="K123" s="10">
        <v>1880</v>
      </c>
      <c r="L123" s="10">
        <v>1394</v>
      </c>
      <c r="M123" s="10">
        <v>1730</v>
      </c>
      <c r="N123" s="10">
        <v>4.53</v>
      </c>
      <c r="O123" s="10">
        <v>97</v>
      </c>
      <c r="P123" s="10">
        <v>1</v>
      </c>
      <c r="Q123" s="10" t="s">
        <v>392</v>
      </c>
      <c r="R123" s="10" t="s">
        <v>366</v>
      </c>
      <c r="S123" s="10">
        <v>4080</v>
      </c>
      <c r="T123" s="10">
        <v>3983</v>
      </c>
      <c r="U123" s="14" t="s">
        <v>1402</v>
      </c>
    </row>
    <row r="124" spans="1:21" ht="15" x14ac:dyDescent="0.35">
      <c r="A124" s="9">
        <v>127</v>
      </c>
      <c r="B124" s="10" t="s">
        <v>402</v>
      </c>
      <c r="C124" s="10" t="s">
        <v>354</v>
      </c>
      <c r="D124" s="10" t="s">
        <v>330</v>
      </c>
      <c r="E124" s="10" t="s">
        <v>403</v>
      </c>
      <c r="F124" s="10" t="s">
        <v>41</v>
      </c>
      <c r="G124" s="10">
        <v>500</v>
      </c>
      <c r="H124" s="10">
        <v>750</v>
      </c>
      <c r="I124" s="10" t="s">
        <v>17</v>
      </c>
      <c r="J124" s="10" t="s">
        <v>391</v>
      </c>
      <c r="K124" s="10">
        <v>1880</v>
      </c>
      <c r="L124" s="10">
        <v>1394</v>
      </c>
      <c r="M124" s="10">
        <v>1750</v>
      </c>
      <c r="N124" s="10">
        <v>4.59</v>
      </c>
      <c r="O124" s="10">
        <v>97</v>
      </c>
      <c r="P124" s="10">
        <v>1</v>
      </c>
      <c r="Q124" s="10" t="s">
        <v>392</v>
      </c>
      <c r="R124" s="10" t="s">
        <v>377</v>
      </c>
      <c r="S124" s="10">
        <v>4227</v>
      </c>
      <c r="T124" s="10">
        <v>4130</v>
      </c>
      <c r="U124" s="14" t="s">
        <v>1402</v>
      </c>
    </row>
    <row r="125" spans="1:21" ht="15" x14ac:dyDescent="0.35">
      <c r="A125" s="9">
        <v>128</v>
      </c>
      <c r="B125" s="49"/>
      <c r="C125" s="49" t="s">
        <v>330</v>
      </c>
      <c r="D125" s="49" t="s">
        <v>330</v>
      </c>
      <c r="E125" s="10" t="s">
        <v>404</v>
      </c>
      <c r="F125" s="10" t="s">
        <v>90</v>
      </c>
      <c r="I125" s="10" t="s">
        <v>11</v>
      </c>
      <c r="J125" s="10" t="s">
        <v>405</v>
      </c>
      <c r="K125" s="10">
        <v>2480</v>
      </c>
      <c r="L125" s="10">
        <v>1394</v>
      </c>
      <c r="M125" s="10">
        <v>2000</v>
      </c>
      <c r="O125" s="10">
        <v>115</v>
      </c>
      <c r="Q125" s="10" t="s">
        <v>406</v>
      </c>
      <c r="R125" s="10" t="s">
        <v>1449</v>
      </c>
      <c r="S125" s="50"/>
      <c r="T125" s="50"/>
      <c r="U125" s="14" t="s">
        <v>1402</v>
      </c>
    </row>
    <row r="126" spans="1:21" ht="15" x14ac:dyDescent="0.35">
      <c r="A126" s="9">
        <v>129</v>
      </c>
      <c r="B126" s="49"/>
      <c r="C126" s="49" t="s">
        <v>330</v>
      </c>
      <c r="D126" s="49" t="s">
        <v>330</v>
      </c>
      <c r="E126" s="10" t="s">
        <v>404</v>
      </c>
      <c r="F126" s="10" t="s">
        <v>90</v>
      </c>
      <c r="I126" s="10" t="s">
        <v>11</v>
      </c>
      <c r="J126" s="10" t="s">
        <v>407</v>
      </c>
      <c r="K126" s="10">
        <v>2700</v>
      </c>
      <c r="L126" s="10">
        <v>1394</v>
      </c>
      <c r="M126" s="10">
        <v>2000</v>
      </c>
      <c r="O126" s="10">
        <v>118</v>
      </c>
      <c r="Q126" s="10" t="s">
        <v>408</v>
      </c>
      <c r="R126" s="10" t="s">
        <v>1450</v>
      </c>
      <c r="S126" s="50"/>
      <c r="T126" s="50"/>
      <c r="U126" s="14" t="s">
        <v>1402</v>
      </c>
    </row>
    <row r="127" spans="1:21" ht="15" x14ac:dyDescent="0.35">
      <c r="A127" s="9">
        <v>130</v>
      </c>
      <c r="B127" s="49"/>
      <c r="C127" s="49" t="s">
        <v>330</v>
      </c>
      <c r="D127" s="49" t="s">
        <v>330</v>
      </c>
      <c r="E127" s="10" t="s">
        <v>404</v>
      </c>
      <c r="F127" s="10" t="s">
        <v>90</v>
      </c>
      <c r="I127" s="10" t="s">
        <v>11</v>
      </c>
      <c r="J127" s="10" t="s">
        <v>409</v>
      </c>
      <c r="K127" s="10">
        <v>2430</v>
      </c>
      <c r="L127" s="10">
        <v>1394</v>
      </c>
      <c r="M127" s="10">
        <v>2000</v>
      </c>
      <c r="O127" s="10">
        <v>180</v>
      </c>
      <c r="Q127" s="10" t="s">
        <v>410</v>
      </c>
      <c r="R127" s="10" t="s">
        <v>1451</v>
      </c>
      <c r="S127" s="50"/>
      <c r="T127" s="50"/>
      <c r="U127" s="14" t="s">
        <v>1402</v>
      </c>
    </row>
    <row r="128" spans="1:21" ht="15" x14ac:dyDescent="0.35">
      <c r="A128" s="9">
        <v>131</v>
      </c>
      <c r="B128" s="49"/>
      <c r="C128" s="49" t="s">
        <v>330</v>
      </c>
      <c r="D128" s="49" t="s">
        <v>330</v>
      </c>
      <c r="E128" s="10" t="s">
        <v>404</v>
      </c>
      <c r="F128" s="10" t="s">
        <v>77</v>
      </c>
      <c r="I128" s="10" t="s">
        <v>11</v>
      </c>
      <c r="J128" s="10" t="s">
        <v>411</v>
      </c>
      <c r="K128" s="10">
        <v>2300</v>
      </c>
      <c r="L128" s="10">
        <v>1394</v>
      </c>
      <c r="M128" s="10">
        <v>2000</v>
      </c>
      <c r="O128" s="10">
        <v>103</v>
      </c>
      <c r="Q128" s="10" t="s">
        <v>412</v>
      </c>
      <c r="R128" s="10" t="s">
        <v>1452</v>
      </c>
      <c r="S128" s="50"/>
      <c r="T128" s="50"/>
      <c r="U128" s="14" t="s">
        <v>1402</v>
      </c>
    </row>
    <row r="129" spans="1:21" ht="15" x14ac:dyDescent="0.35">
      <c r="A129" s="9">
        <v>132</v>
      </c>
      <c r="B129" s="49"/>
      <c r="C129" s="49" t="s">
        <v>330</v>
      </c>
      <c r="D129" s="49" t="s">
        <v>330</v>
      </c>
      <c r="E129" s="10" t="s">
        <v>404</v>
      </c>
      <c r="F129" s="10" t="s">
        <v>77</v>
      </c>
      <c r="I129" s="10" t="s">
        <v>11</v>
      </c>
      <c r="J129" s="10" t="s">
        <v>405</v>
      </c>
      <c r="K129" s="10">
        <v>2480</v>
      </c>
      <c r="L129" s="10">
        <v>1394</v>
      </c>
      <c r="M129" s="10">
        <v>2000</v>
      </c>
      <c r="O129" s="10">
        <v>186</v>
      </c>
      <c r="Q129" s="10" t="s">
        <v>413</v>
      </c>
      <c r="R129" s="10" t="s">
        <v>1453</v>
      </c>
      <c r="S129" s="50"/>
      <c r="T129" s="50"/>
      <c r="U129" s="14" t="s">
        <v>1402</v>
      </c>
    </row>
    <row r="130" spans="1:21" ht="15" x14ac:dyDescent="0.35">
      <c r="A130" s="9">
        <v>133</v>
      </c>
      <c r="B130" s="10" t="s">
        <v>414</v>
      </c>
      <c r="C130" s="10" t="s">
        <v>354</v>
      </c>
      <c r="D130" s="10" t="s">
        <v>330</v>
      </c>
      <c r="E130" s="10" t="s">
        <v>415</v>
      </c>
      <c r="F130" s="10" t="s">
        <v>41</v>
      </c>
      <c r="G130" s="10">
        <v>500</v>
      </c>
      <c r="H130" s="10">
        <v>750</v>
      </c>
      <c r="I130" s="10" t="s">
        <v>17</v>
      </c>
      <c r="J130" s="10" t="s">
        <v>416</v>
      </c>
      <c r="K130" s="10">
        <v>2390</v>
      </c>
      <c r="L130" s="10">
        <v>1394</v>
      </c>
      <c r="M130" s="10">
        <v>2000</v>
      </c>
      <c r="N130" s="10">
        <v>6.66</v>
      </c>
      <c r="O130" s="10">
        <v>115</v>
      </c>
      <c r="P130" s="10">
        <v>1</v>
      </c>
      <c r="Q130" s="10" t="s">
        <v>417</v>
      </c>
      <c r="R130" s="10" t="s">
        <v>366</v>
      </c>
      <c r="S130" s="10">
        <v>6245</v>
      </c>
      <c r="T130" s="10">
        <v>6130</v>
      </c>
      <c r="U130" s="14" t="s">
        <v>1402</v>
      </c>
    </row>
    <row r="131" spans="1:21" ht="15" x14ac:dyDescent="0.35">
      <c r="A131" s="9">
        <v>134</v>
      </c>
      <c r="B131" s="10" t="s">
        <v>418</v>
      </c>
      <c r="C131" s="10" t="s">
        <v>419</v>
      </c>
      <c r="D131" s="10" t="s">
        <v>330</v>
      </c>
      <c r="E131" s="10" t="s">
        <v>355</v>
      </c>
      <c r="F131" s="10" t="s">
        <v>16</v>
      </c>
      <c r="G131" s="10">
        <v>500</v>
      </c>
      <c r="H131" s="10">
        <v>750</v>
      </c>
      <c r="I131" s="10" t="s">
        <v>24</v>
      </c>
      <c r="J131" s="10" t="s">
        <v>420</v>
      </c>
      <c r="K131" s="10">
        <v>2390</v>
      </c>
      <c r="L131" s="10">
        <v>1200</v>
      </c>
      <c r="M131" s="10">
        <v>2000</v>
      </c>
      <c r="N131" s="10">
        <v>5.74</v>
      </c>
      <c r="O131" s="10">
        <v>115</v>
      </c>
      <c r="P131" s="10">
        <v>1</v>
      </c>
      <c r="Q131" s="10" t="s">
        <v>421</v>
      </c>
      <c r="R131" s="10" t="s">
        <v>422</v>
      </c>
      <c r="S131" s="10">
        <v>5135</v>
      </c>
      <c r="T131" s="10">
        <v>5020</v>
      </c>
      <c r="U131" s="14" t="s">
        <v>1402</v>
      </c>
    </row>
    <row r="132" spans="1:21" ht="15" x14ac:dyDescent="0.35">
      <c r="A132" s="9">
        <v>135</v>
      </c>
      <c r="B132" s="10" t="s">
        <v>423</v>
      </c>
      <c r="C132" s="10" t="s">
        <v>419</v>
      </c>
      <c r="D132" s="10" t="s">
        <v>330</v>
      </c>
      <c r="E132" s="10" t="s">
        <v>368</v>
      </c>
      <c r="F132" s="10" t="s">
        <v>16</v>
      </c>
      <c r="G132" s="10">
        <v>500</v>
      </c>
      <c r="H132" s="10">
        <v>750</v>
      </c>
      <c r="I132" s="10" t="s">
        <v>17</v>
      </c>
      <c r="J132" s="10" t="s">
        <v>424</v>
      </c>
      <c r="K132" s="10">
        <v>2240</v>
      </c>
      <c r="L132" s="10">
        <v>1644</v>
      </c>
      <c r="M132" s="10">
        <v>1730</v>
      </c>
      <c r="N132" s="10">
        <v>6.37</v>
      </c>
      <c r="O132" s="10">
        <v>130</v>
      </c>
      <c r="P132" s="10">
        <v>1</v>
      </c>
      <c r="Q132" s="10" t="s">
        <v>425</v>
      </c>
      <c r="R132" s="10" t="s">
        <v>426</v>
      </c>
      <c r="S132" s="10">
        <v>4730</v>
      </c>
      <c r="T132" s="10">
        <v>4600</v>
      </c>
      <c r="U132" s="14" t="s">
        <v>1402</v>
      </c>
    </row>
    <row r="133" spans="1:21" ht="15" x14ac:dyDescent="0.35">
      <c r="A133" s="9">
        <v>136</v>
      </c>
      <c r="B133" s="10" t="s">
        <v>427</v>
      </c>
      <c r="C133" s="10" t="s">
        <v>419</v>
      </c>
      <c r="D133" s="10" t="s">
        <v>330</v>
      </c>
      <c r="E133" s="10" t="s">
        <v>401</v>
      </c>
      <c r="F133" s="10" t="s">
        <v>16</v>
      </c>
      <c r="G133" s="10">
        <v>500</v>
      </c>
      <c r="H133" s="10">
        <v>750</v>
      </c>
      <c r="I133" s="10" t="s">
        <v>17</v>
      </c>
      <c r="J133" s="10" t="s">
        <v>428</v>
      </c>
      <c r="K133" s="10">
        <v>2080</v>
      </c>
      <c r="L133" s="10">
        <v>1494</v>
      </c>
      <c r="M133" s="10">
        <v>1750</v>
      </c>
      <c r="N133" s="10">
        <v>5.44</v>
      </c>
      <c r="O133" s="10">
        <v>97</v>
      </c>
      <c r="P133" s="10">
        <v>1</v>
      </c>
      <c r="Q133" s="10" t="s">
        <v>429</v>
      </c>
      <c r="R133" s="10" t="s">
        <v>430</v>
      </c>
      <c r="S133" s="10">
        <v>4107</v>
      </c>
      <c r="T133" s="10">
        <v>4010</v>
      </c>
      <c r="U133" s="14" t="s">
        <v>1402</v>
      </c>
    </row>
    <row r="134" spans="1:21" ht="15" x14ac:dyDescent="0.35">
      <c r="A134" s="9">
        <v>137</v>
      </c>
      <c r="B134" s="10" t="s">
        <v>431</v>
      </c>
      <c r="C134" s="10" t="s">
        <v>419</v>
      </c>
      <c r="D134" s="10" t="s">
        <v>330</v>
      </c>
      <c r="E134" s="10" t="s">
        <v>401</v>
      </c>
      <c r="F134" s="10" t="s">
        <v>41</v>
      </c>
      <c r="G134" s="10">
        <v>500</v>
      </c>
      <c r="H134" s="10">
        <v>750</v>
      </c>
      <c r="I134" s="10" t="s">
        <v>24</v>
      </c>
      <c r="J134" s="10" t="s">
        <v>432</v>
      </c>
      <c r="K134" s="10">
        <v>1880</v>
      </c>
      <c r="L134" s="10">
        <v>1494</v>
      </c>
      <c r="M134" s="10">
        <v>1730</v>
      </c>
      <c r="N134" s="10">
        <v>4.8600000000000003</v>
      </c>
      <c r="O134" s="10">
        <v>102</v>
      </c>
      <c r="P134" s="10">
        <v>1</v>
      </c>
      <c r="Q134" s="10" t="s">
        <v>433</v>
      </c>
      <c r="R134" s="10" t="s">
        <v>434</v>
      </c>
      <c r="S134" s="10">
        <v>4085</v>
      </c>
      <c r="T134" s="10">
        <v>3983</v>
      </c>
      <c r="U134" s="14" t="s">
        <v>1402</v>
      </c>
    </row>
    <row r="135" spans="1:21" ht="15" x14ac:dyDescent="0.35">
      <c r="A135" s="9">
        <v>138</v>
      </c>
      <c r="B135" s="10" t="s">
        <v>435</v>
      </c>
      <c r="C135" s="10" t="s">
        <v>2</v>
      </c>
      <c r="D135" s="10" t="s">
        <v>436</v>
      </c>
      <c r="E135" s="10" t="s">
        <v>203</v>
      </c>
      <c r="F135" s="10" t="s">
        <v>16</v>
      </c>
      <c r="G135" s="10">
        <v>420</v>
      </c>
      <c r="H135" s="10">
        <v>1150</v>
      </c>
      <c r="I135" s="10" t="s">
        <v>24</v>
      </c>
      <c r="J135" s="10" t="s">
        <v>437</v>
      </c>
      <c r="K135" s="10">
        <v>2890</v>
      </c>
      <c r="L135" s="10">
        <v>1934</v>
      </c>
      <c r="M135" s="10">
        <v>2210</v>
      </c>
      <c r="N135" s="10">
        <v>12.35</v>
      </c>
      <c r="O135" s="10">
        <v>200</v>
      </c>
      <c r="P135" s="10">
        <v>1</v>
      </c>
      <c r="Q135" s="10" t="s">
        <v>438</v>
      </c>
      <c r="R135" s="10" t="s">
        <v>439</v>
      </c>
      <c r="S135" s="10">
        <v>7120</v>
      </c>
      <c r="T135" s="10">
        <v>6920</v>
      </c>
      <c r="U135" s="14" t="s">
        <v>1402</v>
      </c>
    </row>
    <row r="136" spans="1:21" ht="15" x14ac:dyDescent="0.35">
      <c r="A136" s="9">
        <v>139</v>
      </c>
      <c r="B136" s="10" t="s">
        <v>440</v>
      </c>
      <c r="C136" s="10" t="s">
        <v>2</v>
      </c>
      <c r="D136" s="10" t="s">
        <v>436</v>
      </c>
      <c r="E136" s="10" t="s">
        <v>441</v>
      </c>
      <c r="F136" s="10" t="s">
        <v>16</v>
      </c>
      <c r="G136" s="10">
        <v>274</v>
      </c>
      <c r="H136" s="10">
        <v>1400</v>
      </c>
      <c r="I136" s="10" t="s">
        <v>34</v>
      </c>
      <c r="J136" s="10" t="s">
        <v>442</v>
      </c>
      <c r="K136" s="10">
        <v>2639</v>
      </c>
      <c r="L136" s="10">
        <v>1804</v>
      </c>
      <c r="M136" s="10">
        <v>2013</v>
      </c>
      <c r="N136" s="10">
        <v>9.58</v>
      </c>
      <c r="O136" s="10">
        <v>224</v>
      </c>
      <c r="P136" s="10">
        <v>1</v>
      </c>
      <c r="Q136" s="10" t="s">
        <v>443</v>
      </c>
      <c r="R136" s="10" t="s">
        <v>444</v>
      </c>
      <c r="S136" s="10">
        <v>8424</v>
      </c>
      <c r="T136" s="10">
        <v>8200</v>
      </c>
      <c r="U136" s="14" t="s">
        <v>1402</v>
      </c>
    </row>
    <row r="137" spans="1:21" ht="15" x14ac:dyDescent="0.35">
      <c r="A137" s="9">
        <v>140</v>
      </c>
      <c r="B137" s="10" t="s">
        <v>445</v>
      </c>
      <c r="C137" s="10" t="s">
        <v>2</v>
      </c>
      <c r="D137" s="10" t="s">
        <v>436</v>
      </c>
      <c r="E137" s="10" t="s">
        <v>446</v>
      </c>
      <c r="F137" s="10" t="s">
        <v>16</v>
      </c>
      <c r="G137" s="10">
        <v>500</v>
      </c>
      <c r="H137" s="10">
        <v>1150</v>
      </c>
      <c r="I137" s="10" t="s">
        <v>17</v>
      </c>
      <c r="J137" s="10" t="s">
        <v>447</v>
      </c>
      <c r="K137" s="10">
        <v>2776</v>
      </c>
      <c r="L137" s="10">
        <v>1480</v>
      </c>
      <c r="M137" s="10">
        <v>1740</v>
      </c>
      <c r="N137" s="10">
        <v>7.15</v>
      </c>
      <c r="O137" s="10">
        <v>101</v>
      </c>
      <c r="P137" s="10">
        <v>1</v>
      </c>
      <c r="Q137" s="10" t="s">
        <v>448</v>
      </c>
      <c r="R137" s="10" t="s">
        <v>449</v>
      </c>
      <c r="S137" s="10">
        <v>6151</v>
      </c>
      <c r="T137" s="10">
        <v>6050</v>
      </c>
      <c r="U137" s="14" t="s">
        <v>1402</v>
      </c>
    </row>
    <row r="138" spans="1:21" ht="15" x14ac:dyDescent="0.35">
      <c r="A138" s="9">
        <v>141</v>
      </c>
      <c r="B138" s="10" t="s">
        <v>450</v>
      </c>
      <c r="C138" s="10" t="s">
        <v>2</v>
      </c>
      <c r="D138" s="10" t="s">
        <v>436</v>
      </c>
      <c r="E138" s="10" t="s">
        <v>451</v>
      </c>
      <c r="F138" s="10" t="s">
        <v>16</v>
      </c>
      <c r="G138" s="10">
        <v>500</v>
      </c>
      <c r="H138" s="10">
        <v>1150</v>
      </c>
      <c r="I138" s="10" t="s">
        <v>17</v>
      </c>
      <c r="J138" s="10" t="s">
        <v>452</v>
      </c>
      <c r="K138" s="10">
        <v>2776</v>
      </c>
      <c r="L138" s="10">
        <v>1580</v>
      </c>
      <c r="M138" s="10">
        <v>2200</v>
      </c>
      <c r="N138" s="10">
        <v>9.65</v>
      </c>
      <c r="O138" s="10">
        <v>230</v>
      </c>
      <c r="P138" s="10">
        <v>1</v>
      </c>
      <c r="Q138" s="10" t="s">
        <v>448</v>
      </c>
      <c r="R138" s="10" t="s">
        <v>449</v>
      </c>
      <c r="S138" s="10">
        <v>6650</v>
      </c>
      <c r="T138" s="10">
        <v>6420</v>
      </c>
      <c r="U138" s="14" t="s">
        <v>1402</v>
      </c>
    </row>
    <row r="139" spans="1:21" ht="13.5" customHeight="1" x14ac:dyDescent="0.35">
      <c r="A139" s="9">
        <v>142</v>
      </c>
      <c r="B139" s="10" t="s">
        <v>453</v>
      </c>
      <c r="C139" s="10" t="s">
        <v>2</v>
      </c>
      <c r="D139" s="10" t="s">
        <v>436</v>
      </c>
      <c r="E139" s="10" t="s">
        <v>454</v>
      </c>
      <c r="F139" s="10" t="s">
        <v>16</v>
      </c>
      <c r="G139" s="10">
        <v>500</v>
      </c>
      <c r="H139" s="10">
        <v>1150</v>
      </c>
      <c r="I139" s="10" t="s">
        <v>24</v>
      </c>
      <c r="J139" s="10" t="s">
        <v>455</v>
      </c>
      <c r="K139" s="10">
        <v>2876</v>
      </c>
      <c r="L139" s="10">
        <v>1804</v>
      </c>
      <c r="M139" s="10">
        <v>1985</v>
      </c>
      <c r="N139" s="10">
        <v>10.3</v>
      </c>
      <c r="O139" s="10">
        <v>106</v>
      </c>
      <c r="P139" s="10">
        <v>1</v>
      </c>
      <c r="Q139" s="10" t="s">
        <v>456</v>
      </c>
      <c r="R139" s="10" t="s">
        <v>457</v>
      </c>
      <c r="S139" s="10">
        <v>6654</v>
      </c>
      <c r="T139" s="10">
        <v>6548</v>
      </c>
      <c r="U139" s="14" t="s">
        <v>1402</v>
      </c>
    </row>
    <row r="140" spans="1:21" ht="15" x14ac:dyDescent="0.35">
      <c r="A140" s="9">
        <v>143</v>
      </c>
      <c r="B140" s="10" t="s">
        <v>458</v>
      </c>
      <c r="C140" s="10" t="s">
        <v>2</v>
      </c>
      <c r="D140" s="10" t="s">
        <v>436</v>
      </c>
      <c r="E140" s="10" t="s">
        <v>459</v>
      </c>
      <c r="F140" s="10" t="s">
        <v>16</v>
      </c>
      <c r="G140" s="10">
        <v>274</v>
      </c>
      <c r="H140" s="10">
        <v>1400</v>
      </c>
      <c r="I140" s="10" t="s">
        <v>17</v>
      </c>
      <c r="J140" s="10" t="s">
        <v>460</v>
      </c>
      <c r="K140" s="10">
        <v>3306</v>
      </c>
      <c r="L140" s="10">
        <v>1922</v>
      </c>
      <c r="M140" s="10">
        <v>2360</v>
      </c>
      <c r="N140" s="10">
        <v>15</v>
      </c>
      <c r="O140" s="10">
        <v>325</v>
      </c>
      <c r="P140" s="10">
        <v>1</v>
      </c>
      <c r="Q140" s="10" t="s">
        <v>461</v>
      </c>
      <c r="R140" s="10" t="s">
        <v>462</v>
      </c>
      <c r="S140" s="10">
        <v>9175</v>
      </c>
      <c r="T140" s="10">
        <v>8850</v>
      </c>
      <c r="U140" s="14" t="s">
        <v>1402</v>
      </c>
    </row>
    <row r="141" spans="1:21" ht="15" x14ac:dyDescent="0.35">
      <c r="A141" s="9">
        <v>144</v>
      </c>
      <c r="B141" s="10" t="s">
        <v>463</v>
      </c>
      <c r="C141" s="10" t="s">
        <v>2</v>
      </c>
      <c r="D141" s="10" t="s">
        <v>436</v>
      </c>
      <c r="E141" s="10" t="s">
        <v>459</v>
      </c>
      <c r="F141" s="10" t="s">
        <v>16</v>
      </c>
      <c r="G141" s="10">
        <v>274</v>
      </c>
      <c r="H141" s="10">
        <v>1100</v>
      </c>
      <c r="I141" s="10" t="s">
        <v>24</v>
      </c>
      <c r="J141" s="10" t="s">
        <v>464</v>
      </c>
      <c r="K141" s="10">
        <v>3280</v>
      </c>
      <c r="L141" s="10">
        <v>1720</v>
      </c>
      <c r="M141" s="10">
        <v>1810</v>
      </c>
      <c r="N141" s="10">
        <v>10.210000000000001</v>
      </c>
      <c r="O141" s="10">
        <v>260</v>
      </c>
      <c r="P141" s="10">
        <v>1</v>
      </c>
      <c r="Q141" s="10" t="s">
        <v>465</v>
      </c>
      <c r="R141" s="10" t="s">
        <v>466</v>
      </c>
      <c r="S141" s="10">
        <v>7060</v>
      </c>
      <c r="T141" s="10">
        <v>6800</v>
      </c>
      <c r="U141" s="14" t="s">
        <v>1402</v>
      </c>
    </row>
    <row r="142" spans="1:21" ht="15" x14ac:dyDescent="0.35">
      <c r="A142" s="9">
        <v>145</v>
      </c>
      <c r="B142" s="10" t="s">
        <v>467</v>
      </c>
      <c r="C142" s="10" t="s">
        <v>2</v>
      </c>
      <c r="D142" s="10" t="s">
        <v>436</v>
      </c>
      <c r="E142" s="10" t="s">
        <v>459</v>
      </c>
      <c r="F142" s="10" t="s">
        <v>16</v>
      </c>
      <c r="G142" s="10">
        <v>500</v>
      </c>
      <c r="H142" s="10">
        <v>1150</v>
      </c>
      <c r="I142" s="10" t="s">
        <v>24</v>
      </c>
      <c r="J142" s="10" t="s">
        <v>468</v>
      </c>
      <c r="K142" s="10">
        <v>3340</v>
      </c>
      <c r="L142" s="10">
        <v>1934</v>
      </c>
      <c r="M142" s="10">
        <v>2215</v>
      </c>
      <c r="N142" s="10">
        <v>14.31</v>
      </c>
      <c r="O142" s="10">
        <v>179</v>
      </c>
      <c r="P142" s="10">
        <v>1</v>
      </c>
      <c r="Q142" s="10" t="s">
        <v>469</v>
      </c>
      <c r="R142" s="10" t="s">
        <v>470</v>
      </c>
      <c r="S142" s="10">
        <v>7474</v>
      </c>
      <c r="T142" s="10">
        <v>7295</v>
      </c>
      <c r="U142" s="14" t="s">
        <v>1402</v>
      </c>
    </row>
    <row r="143" spans="1:21" ht="15" x14ac:dyDescent="0.35">
      <c r="A143" s="9">
        <v>146</v>
      </c>
      <c r="B143" s="10" t="s">
        <v>471</v>
      </c>
      <c r="C143" s="10" t="s">
        <v>2</v>
      </c>
      <c r="D143" s="10" t="s">
        <v>436</v>
      </c>
      <c r="E143" s="10" t="s">
        <v>472</v>
      </c>
      <c r="F143" s="10" t="s">
        <v>16</v>
      </c>
      <c r="G143" s="10">
        <v>500</v>
      </c>
      <c r="H143" s="10">
        <v>1150</v>
      </c>
      <c r="I143" s="10" t="s">
        <v>17</v>
      </c>
      <c r="J143" s="10" t="s">
        <v>473</v>
      </c>
      <c r="K143" s="10">
        <v>2676</v>
      </c>
      <c r="L143" s="10">
        <v>1480</v>
      </c>
      <c r="M143" s="10">
        <v>1740</v>
      </c>
      <c r="N143" s="10">
        <v>6.89</v>
      </c>
      <c r="O143" s="10">
        <v>98</v>
      </c>
      <c r="P143" s="10">
        <v>1</v>
      </c>
      <c r="Q143" s="10" t="s">
        <v>474</v>
      </c>
      <c r="R143" s="10" t="s">
        <v>475</v>
      </c>
      <c r="S143" s="10">
        <v>6656</v>
      </c>
      <c r="T143" s="10">
        <v>6558</v>
      </c>
      <c r="U143" s="14" t="s">
        <v>1402</v>
      </c>
    </row>
    <row r="144" spans="1:21" ht="15" x14ac:dyDescent="0.35">
      <c r="A144" s="9">
        <v>147</v>
      </c>
      <c r="B144" s="10" t="s">
        <v>476</v>
      </c>
      <c r="C144" s="10" t="s">
        <v>2</v>
      </c>
      <c r="D144" s="10" t="s">
        <v>436</v>
      </c>
      <c r="E144" s="10" t="s">
        <v>472</v>
      </c>
      <c r="F144" s="10" t="s">
        <v>16</v>
      </c>
      <c r="G144" s="10">
        <v>500</v>
      </c>
      <c r="H144" s="10">
        <v>1150</v>
      </c>
      <c r="I144" s="10" t="s">
        <v>24</v>
      </c>
      <c r="J144" s="10" t="s">
        <v>477</v>
      </c>
      <c r="K144" s="10">
        <v>2680</v>
      </c>
      <c r="L144" s="10">
        <v>2104</v>
      </c>
      <c r="M144" s="10">
        <v>2250</v>
      </c>
      <c r="N144" s="10">
        <v>12.69</v>
      </c>
      <c r="O144" s="10">
        <v>162</v>
      </c>
      <c r="P144" s="10">
        <v>1</v>
      </c>
      <c r="Q144" s="10" t="s">
        <v>478</v>
      </c>
      <c r="R144" s="10" t="s">
        <v>479</v>
      </c>
      <c r="S144" s="10">
        <v>7162</v>
      </c>
      <c r="T144" s="10">
        <v>7000</v>
      </c>
      <c r="U144" s="14" t="s">
        <v>1402</v>
      </c>
    </row>
    <row r="145" spans="1:21" ht="15" x14ac:dyDescent="0.35">
      <c r="A145" s="9">
        <v>148</v>
      </c>
      <c r="B145" s="10" t="s">
        <v>480</v>
      </c>
      <c r="C145" s="10" t="s">
        <v>2</v>
      </c>
      <c r="D145" s="10" t="s">
        <v>436</v>
      </c>
      <c r="E145" s="10" t="s">
        <v>481</v>
      </c>
      <c r="F145" s="10" t="s">
        <v>16</v>
      </c>
      <c r="G145" s="10">
        <v>450</v>
      </c>
      <c r="H145" s="10">
        <v>1150</v>
      </c>
      <c r="I145" s="10" t="s">
        <v>24</v>
      </c>
      <c r="J145" s="10" t="s">
        <v>482</v>
      </c>
      <c r="K145" s="10">
        <v>3240</v>
      </c>
      <c r="L145" s="10">
        <v>1934</v>
      </c>
      <c r="M145" s="10">
        <v>2217</v>
      </c>
      <c r="N145" s="10">
        <v>13.89</v>
      </c>
      <c r="O145" s="10">
        <v>227</v>
      </c>
      <c r="P145" s="10">
        <v>1</v>
      </c>
      <c r="R145" s="10" t="s">
        <v>483</v>
      </c>
      <c r="S145" s="10">
        <v>7027</v>
      </c>
      <c r="T145" s="10">
        <v>6800</v>
      </c>
      <c r="U145" s="14" t="s">
        <v>1402</v>
      </c>
    </row>
    <row r="146" spans="1:21" ht="15" x14ac:dyDescent="0.35">
      <c r="A146" s="9">
        <v>149</v>
      </c>
      <c r="B146" s="10" t="s">
        <v>484</v>
      </c>
      <c r="C146" s="10" t="s">
        <v>2</v>
      </c>
      <c r="D146" s="10" t="s">
        <v>436</v>
      </c>
      <c r="E146" s="10" t="s">
        <v>485</v>
      </c>
      <c r="F146" s="10" t="s">
        <v>16</v>
      </c>
      <c r="G146" s="10">
        <v>500</v>
      </c>
      <c r="H146" s="10">
        <v>1150</v>
      </c>
      <c r="I146" s="10" t="s">
        <v>17</v>
      </c>
      <c r="J146" s="10" t="s">
        <v>486</v>
      </c>
      <c r="K146" s="10">
        <v>3076</v>
      </c>
      <c r="L146" s="10">
        <v>1480</v>
      </c>
      <c r="M146" s="10">
        <v>1740</v>
      </c>
      <c r="N146" s="10">
        <v>7.92</v>
      </c>
      <c r="O146" s="10">
        <v>110</v>
      </c>
      <c r="P146" s="10">
        <v>1</v>
      </c>
      <c r="Q146" s="10" t="s">
        <v>487</v>
      </c>
      <c r="R146" s="10" t="s">
        <v>488</v>
      </c>
      <c r="S146" s="10">
        <v>6695</v>
      </c>
      <c r="T146" s="10">
        <v>6585</v>
      </c>
      <c r="U146" s="14" t="s">
        <v>1402</v>
      </c>
    </row>
    <row r="147" spans="1:21" ht="15" x14ac:dyDescent="0.35">
      <c r="A147" s="9">
        <v>150</v>
      </c>
      <c r="B147" s="10" t="s">
        <v>489</v>
      </c>
      <c r="C147" s="10" t="s">
        <v>2</v>
      </c>
      <c r="D147" s="10" t="s">
        <v>436</v>
      </c>
      <c r="E147" s="10" t="s">
        <v>490</v>
      </c>
      <c r="F147" s="10" t="s">
        <v>41</v>
      </c>
      <c r="G147" s="10">
        <v>500</v>
      </c>
      <c r="H147" s="10">
        <v>1150</v>
      </c>
      <c r="I147" s="10" t="s">
        <v>17</v>
      </c>
      <c r="J147" s="10" t="s">
        <v>491</v>
      </c>
      <c r="K147" s="10">
        <v>2976</v>
      </c>
      <c r="L147" s="10">
        <v>1480</v>
      </c>
      <c r="M147" s="10">
        <v>1740</v>
      </c>
      <c r="N147" s="10">
        <v>7.66</v>
      </c>
      <c r="O147" s="10">
        <v>5250</v>
      </c>
      <c r="P147" s="10">
        <v>1</v>
      </c>
      <c r="Q147" s="10" t="s">
        <v>492</v>
      </c>
      <c r="R147" s="10" t="s">
        <v>488</v>
      </c>
      <c r="S147" s="10">
        <v>10500</v>
      </c>
      <c r="T147" s="10">
        <v>5250</v>
      </c>
      <c r="U147" s="14" t="s">
        <v>1402</v>
      </c>
    </row>
    <row r="148" spans="1:21" ht="15" x14ac:dyDescent="0.35">
      <c r="A148" s="9">
        <v>151</v>
      </c>
      <c r="B148" s="10" t="s">
        <v>493</v>
      </c>
      <c r="C148" s="10" t="s">
        <v>2</v>
      </c>
      <c r="D148" s="10" t="s">
        <v>436</v>
      </c>
      <c r="E148" s="10" t="s">
        <v>494</v>
      </c>
      <c r="F148" s="10" t="s">
        <v>16</v>
      </c>
      <c r="G148" s="10">
        <v>500</v>
      </c>
      <c r="H148" s="10">
        <v>1150</v>
      </c>
      <c r="I148" s="10" t="s">
        <v>17</v>
      </c>
      <c r="J148" s="10" t="s">
        <v>491</v>
      </c>
      <c r="K148" s="10">
        <v>2976</v>
      </c>
      <c r="L148" s="10">
        <v>1480</v>
      </c>
      <c r="M148" s="10">
        <v>1740</v>
      </c>
      <c r="N148" s="10">
        <v>7.66</v>
      </c>
      <c r="O148" s="10">
        <v>107</v>
      </c>
      <c r="P148" s="10">
        <v>1</v>
      </c>
      <c r="Q148" s="10" t="s">
        <v>492</v>
      </c>
      <c r="R148" s="10" t="s">
        <v>488</v>
      </c>
      <c r="S148" s="10">
        <v>5607</v>
      </c>
      <c r="T148" s="10">
        <v>5500</v>
      </c>
      <c r="U148" s="14" t="s">
        <v>1402</v>
      </c>
    </row>
    <row r="149" spans="1:21" ht="15" x14ac:dyDescent="0.35">
      <c r="A149" s="9">
        <v>152</v>
      </c>
      <c r="B149" s="10" t="s">
        <v>495</v>
      </c>
      <c r="C149" s="10" t="s">
        <v>2</v>
      </c>
      <c r="D149" s="10" t="s">
        <v>436</v>
      </c>
      <c r="E149" s="10" t="s">
        <v>496</v>
      </c>
      <c r="F149" s="10" t="s">
        <v>16</v>
      </c>
      <c r="G149" s="10">
        <v>500</v>
      </c>
      <c r="H149" s="10">
        <v>1150</v>
      </c>
      <c r="I149" s="10" t="s">
        <v>17</v>
      </c>
      <c r="J149" s="10" t="s">
        <v>491</v>
      </c>
      <c r="K149" s="10">
        <v>2976</v>
      </c>
      <c r="L149" s="10">
        <v>1480</v>
      </c>
      <c r="M149" s="10">
        <v>1740</v>
      </c>
      <c r="N149" s="10">
        <v>7.66</v>
      </c>
      <c r="O149" s="10">
        <v>107</v>
      </c>
      <c r="P149" s="10">
        <v>1</v>
      </c>
      <c r="Q149" s="10" t="s">
        <v>492</v>
      </c>
      <c r="R149" s="10" t="s">
        <v>488</v>
      </c>
      <c r="S149" s="10">
        <v>5907</v>
      </c>
      <c r="T149" s="10">
        <v>5800</v>
      </c>
      <c r="U149" s="14" t="s">
        <v>1402</v>
      </c>
    </row>
    <row r="150" spans="1:21" ht="15" x14ac:dyDescent="0.35">
      <c r="A150" s="9">
        <v>153</v>
      </c>
      <c r="B150" s="10" t="s">
        <v>497</v>
      </c>
      <c r="C150" s="10" t="s">
        <v>2</v>
      </c>
      <c r="D150" s="10" t="s">
        <v>436</v>
      </c>
      <c r="E150" s="10" t="s">
        <v>271</v>
      </c>
      <c r="F150" s="10" t="s">
        <v>16</v>
      </c>
      <c r="G150" s="10">
        <v>500</v>
      </c>
      <c r="H150" s="10">
        <v>1150</v>
      </c>
      <c r="I150" s="10" t="s">
        <v>17</v>
      </c>
      <c r="J150" s="10" t="s">
        <v>498</v>
      </c>
      <c r="K150" s="10">
        <v>3600</v>
      </c>
      <c r="L150" s="10">
        <v>1480</v>
      </c>
      <c r="M150" s="10">
        <v>1750</v>
      </c>
      <c r="N150" s="10">
        <v>9.32</v>
      </c>
      <c r="O150" s="10">
        <v>130</v>
      </c>
      <c r="P150" s="10">
        <v>1</v>
      </c>
      <c r="Q150" s="10" t="s">
        <v>499</v>
      </c>
      <c r="R150" s="10" t="s">
        <v>500</v>
      </c>
      <c r="S150" s="10">
        <v>8080</v>
      </c>
      <c r="T150" s="10">
        <v>7950</v>
      </c>
      <c r="U150" s="14" t="s">
        <v>1402</v>
      </c>
    </row>
    <row r="151" spans="1:21" ht="15" x14ac:dyDescent="0.35">
      <c r="A151" s="9">
        <v>154</v>
      </c>
      <c r="B151" s="10" t="s">
        <v>501</v>
      </c>
      <c r="C151" s="10" t="s">
        <v>2</v>
      </c>
      <c r="D151" s="10" t="s">
        <v>436</v>
      </c>
      <c r="E151" s="10" t="s">
        <v>502</v>
      </c>
      <c r="F151" s="10" t="s">
        <v>16</v>
      </c>
      <c r="G151" s="10">
        <v>500</v>
      </c>
      <c r="H151" s="10">
        <v>1150</v>
      </c>
      <c r="I151" s="10" t="s">
        <v>17</v>
      </c>
      <c r="J151" s="10" t="s">
        <v>503</v>
      </c>
      <c r="K151" s="10">
        <v>3176</v>
      </c>
      <c r="L151" s="10">
        <v>1480</v>
      </c>
      <c r="M151" s="10">
        <v>1800</v>
      </c>
      <c r="N151" s="10">
        <v>8.4600000000000009</v>
      </c>
      <c r="O151" s="10">
        <v>113</v>
      </c>
      <c r="P151" s="10">
        <v>1</v>
      </c>
      <c r="Q151" s="10" t="s">
        <v>504</v>
      </c>
      <c r="R151" s="10" t="s">
        <v>488</v>
      </c>
      <c r="S151" s="10">
        <v>6513</v>
      </c>
      <c r="T151" s="10">
        <v>6400</v>
      </c>
      <c r="U151" s="14" t="s">
        <v>1402</v>
      </c>
    </row>
    <row r="152" spans="1:21" ht="15" x14ac:dyDescent="0.35">
      <c r="A152" s="9">
        <v>155</v>
      </c>
      <c r="B152" s="10" t="s">
        <v>505</v>
      </c>
      <c r="C152" s="10" t="s">
        <v>2</v>
      </c>
      <c r="D152" s="10" t="s">
        <v>436</v>
      </c>
      <c r="E152" s="10" t="s">
        <v>506</v>
      </c>
      <c r="F152" s="10" t="s">
        <v>16</v>
      </c>
      <c r="G152" s="10">
        <v>500</v>
      </c>
      <c r="H152" s="10">
        <v>1150</v>
      </c>
      <c r="I152" s="10" t="s">
        <v>17</v>
      </c>
      <c r="J152" s="10" t="s">
        <v>503</v>
      </c>
      <c r="K152" s="10">
        <v>3176</v>
      </c>
      <c r="L152" s="10">
        <v>1480</v>
      </c>
      <c r="M152" s="10">
        <v>1800</v>
      </c>
      <c r="N152" s="10">
        <v>8.4600000000000009</v>
      </c>
      <c r="O152" s="10">
        <v>113</v>
      </c>
      <c r="P152" s="10">
        <v>1</v>
      </c>
      <c r="Q152" s="10" t="s">
        <v>504</v>
      </c>
      <c r="R152" s="10" t="s">
        <v>488</v>
      </c>
      <c r="S152" s="10">
        <v>6113</v>
      </c>
      <c r="T152" s="10">
        <v>6000</v>
      </c>
      <c r="U152" s="14" t="s">
        <v>1402</v>
      </c>
    </row>
    <row r="153" spans="1:21" ht="15" x14ac:dyDescent="0.35">
      <c r="A153" s="9">
        <v>156</v>
      </c>
      <c r="B153" s="10" t="s">
        <v>507</v>
      </c>
      <c r="C153" s="10" t="s">
        <v>2</v>
      </c>
      <c r="D153" s="10" t="s">
        <v>436</v>
      </c>
      <c r="E153" s="10" t="s">
        <v>506</v>
      </c>
      <c r="F153" s="10" t="s">
        <v>41</v>
      </c>
      <c r="G153" s="10">
        <v>500</v>
      </c>
      <c r="H153" s="10">
        <v>1150</v>
      </c>
      <c r="I153" s="10" t="s">
        <v>17</v>
      </c>
      <c r="J153" s="10" t="s">
        <v>503</v>
      </c>
      <c r="K153" s="10">
        <v>3176</v>
      </c>
      <c r="L153" s="10">
        <v>1480</v>
      </c>
      <c r="M153" s="10">
        <v>1800</v>
      </c>
      <c r="N153" s="10">
        <v>8.4600000000000009</v>
      </c>
      <c r="O153" s="10">
        <v>113</v>
      </c>
      <c r="P153" s="10">
        <v>1</v>
      </c>
      <c r="Q153" s="10" t="s">
        <v>504</v>
      </c>
      <c r="R153" s="10" t="s">
        <v>488</v>
      </c>
      <c r="S153" s="10">
        <v>5863</v>
      </c>
      <c r="T153" s="10">
        <v>5750</v>
      </c>
      <c r="U153" s="14" t="s">
        <v>1402</v>
      </c>
    </row>
    <row r="154" spans="1:21" ht="15" x14ac:dyDescent="0.35">
      <c r="A154" s="9">
        <v>157</v>
      </c>
      <c r="B154" s="10" t="s">
        <v>508</v>
      </c>
      <c r="C154" s="10" t="s">
        <v>2</v>
      </c>
      <c r="D154" s="10" t="s">
        <v>436</v>
      </c>
      <c r="E154" s="10" t="s">
        <v>509</v>
      </c>
      <c r="F154" s="10" t="s">
        <v>16</v>
      </c>
      <c r="G154" s="10">
        <v>500</v>
      </c>
      <c r="H154" s="10">
        <v>1150</v>
      </c>
      <c r="I154" s="10" t="s">
        <v>17</v>
      </c>
      <c r="J154" s="10" t="s">
        <v>491</v>
      </c>
      <c r="K154" s="10">
        <v>2976</v>
      </c>
      <c r="L154" s="10">
        <v>1480</v>
      </c>
      <c r="M154" s="10">
        <v>1740</v>
      </c>
      <c r="N154" s="10">
        <v>7.66</v>
      </c>
      <c r="O154" s="10">
        <v>107</v>
      </c>
      <c r="P154" s="10">
        <v>1</v>
      </c>
      <c r="Q154" s="10" t="s">
        <v>492</v>
      </c>
      <c r="R154" s="10" t="s">
        <v>488</v>
      </c>
      <c r="S154" s="10">
        <v>5607</v>
      </c>
      <c r="T154" s="10">
        <v>5500</v>
      </c>
      <c r="U154" s="14" t="s">
        <v>1402</v>
      </c>
    </row>
    <row r="155" spans="1:21" ht="15" x14ac:dyDescent="0.35">
      <c r="A155" s="9">
        <v>158</v>
      </c>
      <c r="B155" s="10" t="s">
        <v>510</v>
      </c>
      <c r="C155" s="10" t="s">
        <v>2</v>
      </c>
      <c r="D155" s="10" t="s">
        <v>436</v>
      </c>
      <c r="E155" s="10" t="s">
        <v>509</v>
      </c>
      <c r="F155" s="10" t="s">
        <v>41</v>
      </c>
      <c r="G155" s="10">
        <v>500</v>
      </c>
      <c r="H155" s="10">
        <v>1150</v>
      </c>
      <c r="I155" s="10" t="s">
        <v>17</v>
      </c>
      <c r="J155" s="10" t="s">
        <v>491</v>
      </c>
      <c r="K155" s="10">
        <v>2976</v>
      </c>
      <c r="L155" s="10">
        <v>1480</v>
      </c>
      <c r="M155" s="10">
        <v>1740</v>
      </c>
      <c r="N155" s="10">
        <v>7.66</v>
      </c>
      <c r="O155" s="10">
        <v>107</v>
      </c>
      <c r="P155" s="10">
        <v>1</v>
      </c>
      <c r="Q155" s="10" t="s">
        <v>492</v>
      </c>
      <c r="R155" s="10" t="s">
        <v>488</v>
      </c>
      <c r="S155" s="10">
        <v>5357</v>
      </c>
      <c r="T155" s="10">
        <v>5250</v>
      </c>
      <c r="U155" s="14" t="s">
        <v>1402</v>
      </c>
    </row>
    <row r="156" spans="1:21" ht="15" x14ac:dyDescent="0.35">
      <c r="A156" s="9">
        <v>159</v>
      </c>
      <c r="B156" s="10" t="s">
        <v>511</v>
      </c>
      <c r="C156" s="10" t="s">
        <v>2</v>
      </c>
      <c r="D156" s="10" t="s">
        <v>436</v>
      </c>
      <c r="E156" s="10" t="s">
        <v>512</v>
      </c>
      <c r="F156" s="10" t="s">
        <v>16</v>
      </c>
      <c r="G156" s="10">
        <v>500</v>
      </c>
      <c r="H156" s="10">
        <v>1150</v>
      </c>
      <c r="I156" s="10" t="s">
        <v>17</v>
      </c>
      <c r="J156" s="10" t="s">
        <v>513</v>
      </c>
      <c r="K156" s="10">
        <v>3276</v>
      </c>
      <c r="L156" s="10">
        <v>1480</v>
      </c>
      <c r="M156" s="10">
        <v>1800</v>
      </c>
      <c r="N156" s="10">
        <v>8.73</v>
      </c>
      <c r="O156" s="10">
        <v>116</v>
      </c>
      <c r="P156" s="10">
        <v>1</v>
      </c>
      <c r="Q156" s="10" t="s">
        <v>514</v>
      </c>
      <c r="R156" s="10" t="s">
        <v>488</v>
      </c>
      <c r="S156" s="10">
        <v>6886</v>
      </c>
      <c r="T156" s="10">
        <v>6770</v>
      </c>
      <c r="U156" s="14" t="s">
        <v>1402</v>
      </c>
    </row>
    <row r="157" spans="1:21" ht="15" x14ac:dyDescent="0.35">
      <c r="A157" s="9">
        <v>160</v>
      </c>
      <c r="B157" s="10" t="s">
        <v>515</v>
      </c>
      <c r="C157" s="10" t="s">
        <v>2</v>
      </c>
      <c r="D157" s="10" t="s">
        <v>436</v>
      </c>
      <c r="E157" s="10" t="s">
        <v>516</v>
      </c>
      <c r="F157" s="10" t="s">
        <v>16</v>
      </c>
      <c r="G157" s="10">
        <v>500</v>
      </c>
      <c r="H157" s="10">
        <v>1150</v>
      </c>
      <c r="I157" s="10" t="s">
        <v>17</v>
      </c>
      <c r="J157" s="10" t="s">
        <v>503</v>
      </c>
      <c r="K157" s="10">
        <v>3176</v>
      </c>
      <c r="L157" s="10">
        <v>1480</v>
      </c>
      <c r="M157" s="10">
        <v>1800</v>
      </c>
      <c r="N157" s="10">
        <v>8.4600000000000009</v>
      </c>
      <c r="O157" s="10">
        <v>113</v>
      </c>
      <c r="P157" s="10">
        <v>1</v>
      </c>
      <c r="Q157" s="10" t="s">
        <v>504</v>
      </c>
      <c r="R157" s="10" t="s">
        <v>488</v>
      </c>
      <c r="S157" s="10">
        <v>6613</v>
      </c>
      <c r="T157" s="10">
        <v>6500</v>
      </c>
      <c r="U157" s="14" t="s">
        <v>1402</v>
      </c>
    </row>
    <row r="158" spans="1:21" ht="15" x14ac:dyDescent="0.35">
      <c r="A158" s="9">
        <v>161</v>
      </c>
      <c r="B158" s="10" t="s">
        <v>517</v>
      </c>
      <c r="C158" s="10" t="s">
        <v>2</v>
      </c>
      <c r="D158" s="10" t="s">
        <v>436</v>
      </c>
      <c r="E158" s="10" t="s">
        <v>518</v>
      </c>
      <c r="F158" s="10" t="s">
        <v>16</v>
      </c>
      <c r="G158" s="10">
        <v>500</v>
      </c>
      <c r="H158" s="10">
        <v>1150</v>
      </c>
      <c r="I158" s="10" t="s">
        <v>17</v>
      </c>
      <c r="J158" s="10" t="s">
        <v>513</v>
      </c>
      <c r="K158" s="10">
        <v>3276</v>
      </c>
      <c r="L158" s="10">
        <v>1480</v>
      </c>
      <c r="M158" s="10">
        <v>1800</v>
      </c>
      <c r="N158" s="10">
        <v>8.73</v>
      </c>
      <c r="O158" s="10">
        <v>116</v>
      </c>
      <c r="P158" s="10">
        <v>1</v>
      </c>
      <c r="Q158" s="10" t="s">
        <v>514</v>
      </c>
      <c r="R158" s="10" t="s">
        <v>488</v>
      </c>
      <c r="S158" s="10">
        <v>7316</v>
      </c>
      <c r="T158" s="10">
        <v>7200</v>
      </c>
      <c r="U158" s="14" t="s">
        <v>1402</v>
      </c>
    </row>
    <row r="159" spans="1:21" ht="15" x14ac:dyDescent="0.35">
      <c r="A159" s="9">
        <v>162</v>
      </c>
      <c r="B159" s="10" t="s">
        <v>519</v>
      </c>
      <c r="C159" s="10" t="s">
        <v>2</v>
      </c>
      <c r="D159" s="10" t="s">
        <v>436</v>
      </c>
      <c r="E159" s="10" t="s">
        <v>520</v>
      </c>
      <c r="F159" s="10" t="s">
        <v>16</v>
      </c>
      <c r="G159" s="10">
        <v>500</v>
      </c>
      <c r="H159" s="10">
        <v>1150</v>
      </c>
      <c r="I159" s="10" t="s">
        <v>17</v>
      </c>
      <c r="J159" s="10" t="s">
        <v>513</v>
      </c>
      <c r="K159" s="10">
        <v>3276</v>
      </c>
      <c r="L159" s="10">
        <v>1480</v>
      </c>
      <c r="M159" s="10">
        <v>1800</v>
      </c>
      <c r="N159" s="10">
        <v>8.73</v>
      </c>
      <c r="O159" s="10">
        <v>116</v>
      </c>
      <c r="P159" s="10">
        <v>1</v>
      </c>
      <c r="Q159" s="10" t="s">
        <v>514</v>
      </c>
      <c r="R159" s="10" t="s">
        <v>488</v>
      </c>
      <c r="S159" s="10">
        <v>7316</v>
      </c>
      <c r="T159" s="10">
        <v>7200</v>
      </c>
      <c r="U159" s="14" t="s">
        <v>1402</v>
      </c>
    </row>
    <row r="160" spans="1:21" ht="15" x14ac:dyDescent="0.35">
      <c r="A160" s="9">
        <v>163</v>
      </c>
      <c r="B160" s="10" t="s">
        <v>521</v>
      </c>
      <c r="C160" s="10" t="s">
        <v>522</v>
      </c>
      <c r="D160" s="10" t="s">
        <v>436</v>
      </c>
      <c r="E160" s="10" t="s">
        <v>216</v>
      </c>
      <c r="F160" s="10" t="s">
        <v>41</v>
      </c>
      <c r="G160" s="10">
        <v>500</v>
      </c>
      <c r="H160" s="10">
        <v>1150</v>
      </c>
      <c r="I160" s="10" t="s">
        <v>17</v>
      </c>
      <c r="J160" s="10" t="s">
        <v>523</v>
      </c>
      <c r="K160" s="10">
        <v>2626</v>
      </c>
      <c r="L160" s="10">
        <v>1660</v>
      </c>
      <c r="M160" s="10">
        <v>1750</v>
      </c>
      <c r="N160" s="10">
        <v>7.63</v>
      </c>
      <c r="O160" s="10">
        <v>125</v>
      </c>
      <c r="P160" s="10">
        <v>1</v>
      </c>
      <c r="Q160" s="10" t="s">
        <v>524</v>
      </c>
      <c r="R160" s="10" t="s">
        <v>525</v>
      </c>
      <c r="S160" s="10">
        <v>5725</v>
      </c>
      <c r="T160" s="10">
        <v>5600</v>
      </c>
      <c r="U160" s="14" t="s">
        <v>1402</v>
      </c>
    </row>
    <row r="161" spans="1:21" ht="15" x14ac:dyDescent="0.35">
      <c r="A161" s="9">
        <v>164</v>
      </c>
      <c r="B161" s="10" t="s">
        <v>526</v>
      </c>
      <c r="C161" s="10" t="s">
        <v>522</v>
      </c>
      <c r="D161" s="10" t="s">
        <v>436</v>
      </c>
      <c r="E161" s="10" t="s">
        <v>527</v>
      </c>
      <c r="F161" s="10" t="s">
        <v>16</v>
      </c>
      <c r="G161" s="10">
        <v>500</v>
      </c>
      <c r="H161" s="10">
        <v>1150</v>
      </c>
      <c r="I161" s="10" t="s">
        <v>17</v>
      </c>
      <c r="J161" s="10" t="s">
        <v>528</v>
      </c>
      <c r="K161" s="10">
        <v>2776</v>
      </c>
      <c r="L161" s="10">
        <v>1480</v>
      </c>
      <c r="M161" s="10">
        <v>1870</v>
      </c>
      <c r="N161" s="10">
        <v>7.68</v>
      </c>
      <c r="O161" s="10">
        <v>101</v>
      </c>
      <c r="P161" s="10">
        <v>1</v>
      </c>
      <c r="Q161" s="10" t="s">
        <v>529</v>
      </c>
      <c r="R161" s="10" t="s">
        <v>475</v>
      </c>
      <c r="S161" s="10">
        <v>5941</v>
      </c>
      <c r="T161" s="10">
        <v>5840</v>
      </c>
      <c r="U161" s="14" t="s">
        <v>1402</v>
      </c>
    </row>
    <row r="162" spans="1:21" ht="15" x14ac:dyDescent="0.35">
      <c r="A162" s="9">
        <v>165</v>
      </c>
      <c r="B162" s="10" t="s">
        <v>530</v>
      </c>
      <c r="C162" s="10" t="s">
        <v>522</v>
      </c>
      <c r="D162" s="10" t="s">
        <v>436</v>
      </c>
      <c r="E162" s="10" t="s">
        <v>454</v>
      </c>
      <c r="F162" s="10" t="s">
        <v>16</v>
      </c>
      <c r="G162" s="10">
        <v>500</v>
      </c>
      <c r="H162" s="10">
        <v>1150</v>
      </c>
      <c r="I162" s="10" t="s">
        <v>17</v>
      </c>
      <c r="J162" s="10" t="s">
        <v>447</v>
      </c>
      <c r="K162" s="10">
        <v>2776</v>
      </c>
      <c r="L162" s="10">
        <v>1480</v>
      </c>
      <c r="M162" s="10">
        <v>1740</v>
      </c>
      <c r="N162" s="10">
        <v>7.15</v>
      </c>
      <c r="O162" s="10">
        <v>101</v>
      </c>
      <c r="P162" s="10">
        <v>1</v>
      </c>
      <c r="Q162" s="10" t="s">
        <v>529</v>
      </c>
      <c r="R162" s="10" t="s">
        <v>475</v>
      </c>
      <c r="S162" s="10">
        <v>6271</v>
      </c>
      <c r="T162" s="10">
        <v>6170</v>
      </c>
      <c r="U162" s="14" t="s">
        <v>1402</v>
      </c>
    </row>
    <row r="163" spans="1:21" ht="15" x14ac:dyDescent="0.35">
      <c r="A163" s="9">
        <v>166</v>
      </c>
      <c r="B163" s="10" t="s">
        <v>531</v>
      </c>
      <c r="C163" s="10" t="s">
        <v>522</v>
      </c>
      <c r="D163" s="10" t="s">
        <v>436</v>
      </c>
      <c r="E163" s="10" t="s">
        <v>454</v>
      </c>
      <c r="F163" s="10" t="s">
        <v>41</v>
      </c>
      <c r="G163" s="10">
        <v>500</v>
      </c>
      <c r="H163" s="10">
        <v>1150</v>
      </c>
      <c r="I163" s="10" t="s">
        <v>17</v>
      </c>
      <c r="J163" s="10" t="s">
        <v>447</v>
      </c>
      <c r="K163" s="10">
        <v>2776</v>
      </c>
      <c r="L163" s="10">
        <v>1480</v>
      </c>
      <c r="M163" s="10">
        <v>1740</v>
      </c>
      <c r="N163" s="10">
        <v>7.15</v>
      </c>
      <c r="O163" s="10">
        <v>101</v>
      </c>
      <c r="P163" s="10">
        <v>1</v>
      </c>
      <c r="Q163" s="10" t="s">
        <v>529</v>
      </c>
      <c r="R163" s="10" t="s">
        <v>475</v>
      </c>
      <c r="S163" s="10">
        <v>6161</v>
      </c>
      <c r="T163" s="10">
        <v>6060</v>
      </c>
      <c r="U163" s="14" t="s">
        <v>1402</v>
      </c>
    </row>
    <row r="164" spans="1:21" ht="15" x14ac:dyDescent="0.35">
      <c r="A164" s="9">
        <v>167</v>
      </c>
      <c r="B164" s="10" t="s">
        <v>532</v>
      </c>
      <c r="C164" s="10" t="s">
        <v>522</v>
      </c>
      <c r="D164" s="10" t="s">
        <v>436</v>
      </c>
      <c r="E164" s="10" t="s">
        <v>459</v>
      </c>
      <c r="F164" s="10" t="s">
        <v>16</v>
      </c>
      <c r="G164" s="10">
        <v>274</v>
      </c>
      <c r="H164" s="10">
        <v>1250</v>
      </c>
      <c r="I164" s="10" t="s">
        <v>17</v>
      </c>
      <c r="J164" s="10" t="s">
        <v>533</v>
      </c>
      <c r="K164" s="10">
        <v>2520</v>
      </c>
      <c r="L164" s="10">
        <v>1694</v>
      </c>
      <c r="M164" s="10">
        <v>1794</v>
      </c>
      <c r="N164" s="10">
        <v>7.66</v>
      </c>
      <c r="O164" s="10">
        <v>176</v>
      </c>
      <c r="P164" s="10">
        <v>1</v>
      </c>
      <c r="Q164" s="10" t="s">
        <v>534</v>
      </c>
      <c r="R164" s="10" t="s">
        <v>535</v>
      </c>
      <c r="S164" s="10">
        <v>6476</v>
      </c>
      <c r="T164" s="10">
        <v>6300</v>
      </c>
      <c r="U164" s="14" t="s">
        <v>1402</v>
      </c>
    </row>
    <row r="165" spans="1:21" ht="15" x14ac:dyDescent="0.35">
      <c r="A165" s="9">
        <v>168</v>
      </c>
      <c r="B165" s="10" t="s">
        <v>536</v>
      </c>
      <c r="C165" s="10" t="s">
        <v>522</v>
      </c>
      <c r="D165" s="10" t="s">
        <v>436</v>
      </c>
      <c r="E165" s="10" t="s">
        <v>459</v>
      </c>
      <c r="F165" s="10" t="s">
        <v>41</v>
      </c>
      <c r="G165" s="10">
        <v>500</v>
      </c>
      <c r="H165" s="10">
        <v>1150</v>
      </c>
      <c r="I165" s="10" t="s">
        <v>17</v>
      </c>
      <c r="J165" s="10" t="s">
        <v>447</v>
      </c>
      <c r="K165" s="10">
        <v>2776</v>
      </c>
      <c r="L165" s="10">
        <v>1480</v>
      </c>
      <c r="M165" s="10">
        <v>1740</v>
      </c>
      <c r="N165" s="10">
        <v>7.15</v>
      </c>
      <c r="O165" s="10">
        <v>101</v>
      </c>
      <c r="P165" s="10">
        <v>1</v>
      </c>
      <c r="Q165" s="10" t="s">
        <v>529</v>
      </c>
      <c r="R165" s="10" t="s">
        <v>475</v>
      </c>
      <c r="S165" s="10">
        <v>6201</v>
      </c>
      <c r="T165" s="10">
        <v>6100</v>
      </c>
      <c r="U165" s="14" t="s">
        <v>1402</v>
      </c>
    </row>
    <row r="166" spans="1:21" ht="15" x14ac:dyDescent="0.35">
      <c r="A166" s="9">
        <v>169</v>
      </c>
      <c r="B166" s="10" t="s">
        <v>537</v>
      </c>
      <c r="C166" s="10" t="s">
        <v>522</v>
      </c>
      <c r="D166" s="10" t="s">
        <v>436</v>
      </c>
      <c r="E166" s="10" t="s">
        <v>472</v>
      </c>
      <c r="F166" s="10" t="s">
        <v>16</v>
      </c>
      <c r="G166" s="10">
        <v>500</v>
      </c>
      <c r="H166" s="10">
        <v>1150</v>
      </c>
      <c r="I166" s="10" t="s">
        <v>17</v>
      </c>
      <c r="J166" s="10" t="s">
        <v>473</v>
      </c>
      <c r="K166" s="10">
        <v>2676</v>
      </c>
      <c r="L166" s="10">
        <v>1480</v>
      </c>
      <c r="M166" s="10">
        <v>1740</v>
      </c>
      <c r="N166" s="10">
        <v>6.89</v>
      </c>
      <c r="O166" s="10">
        <v>98</v>
      </c>
      <c r="P166" s="10">
        <v>1</v>
      </c>
      <c r="Q166" s="10" t="s">
        <v>474</v>
      </c>
      <c r="R166" s="10" t="s">
        <v>475</v>
      </c>
      <c r="S166" s="10">
        <v>6098</v>
      </c>
      <c r="T166" s="10">
        <v>6000</v>
      </c>
      <c r="U166" s="14" t="s">
        <v>1402</v>
      </c>
    </row>
    <row r="167" spans="1:21" ht="15" x14ac:dyDescent="0.35">
      <c r="A167" s="9">
        <v>170</v>
      </c>
      <c r="B167" s="10" t="s">
        <v>538</v>
      </c>
      <c r="C167" s="10" t="s">
        <v>522</v>
      </c>
      <c r="D167" s="10" t="s">
        <v>436</v>
      </c>
      <c r="E167" s="10" t="s">
        <v>481</v>
      </c>
      <c r="F167" s="10" t="s">
        <v>16</v>
      </c>
      <c r="G167" s="10">
        <v>500</v>
      </c>
      <c r="H167" s="10">
        <v>1150</v>
      </c>
      <c r="I167" s="10" t="s">
        <v>17</v>
      </c>
      <c r="J167" s="10" t="s">
        <v>473</v>
      </c>
      <c r="K167" s="10">
        <v>2676</v>
      </c>
      <c r="L167" s="10">
        <v>1480</v>
      </c>
      <c r="M167" s="10">
        <v>1740</v>
      </c>
      <c r="N167" s="10">
        <v>6.89</v>
      </c>
      <c r="O167" s="10">
        <v>98</v>
      </c>
      <c r="P167" s="10">
        <v>1</v>
      </c>
      <c r="Q167" s="10" t="s">
        <v>474</v>
      </c>
      <c r="R167" s="10" t="s">
        <v>475</v>
      </c>
      <c r="S167" s="10">
        <v>5928</v>
      </c>
      <c r="T167" s="10">
        <v>5830</v>
      </c>
      <c r="U167" s="14" t="s">
        <v>1402</v>
      </c>
    </row>
    <row r="168" spans="1:21" ht="15" x14ac:dyDescent="0.35">
      <c r="A168" s="9">
        <v>171</v>
      </c>
      <c r="B168" s="10" t="s">
        <v>539</v>
      </c>
      <c r="C168" s="10" t="s">
        <v>522</v>
      </c>
      <c r="D168" s="10" t="s">
        <v>436</v>
      </c>
      <c r="E168" s="10" t="s">
        <v>540</v>
      </c>
      <c r="F168" s="10" t="s">
        <v>16</v>
      </c>
      <c r="G168" s="10">
        <v>500</v>
      </c>
      <c r="H168" s="10">
        <v>1150</v>
      </c>
      <c r="I168" s="10" t="s">
        <v>17</v>
      </c>
      <c r="J168" s="10" t="s">
        <v>486</v>
      </c>
      <c r="K168" s="10">
        <v>3076</v>
      </c>
      <c r="L168" s="10">
        <v>1480</v>
      </c>
      <c r="M168" s="10">
        <v>1740</v>
      </c>
      <c r="N168" s="10">
        <v>7.92</v>
      </c>
      <c r="O168" s="10">
        <v>110</v>
      </c>
      <c r="P168" s="10">
        <v>1</v>
      </c>
      <c r="Q168" s="10" t="s">
        <v>487</v>
      </c>
      <c r="R168" s="10" t="s">
        <v>488</v>
      </c>
      <c r="S168" s="10">
        <v>6610</v>
      </c>
      <c r="T168" s="10">
        <v>6500</v>
      </c>
      <c r="U168" s="14" t="s">
        <v>1402</v>
      </c>
    </row>
    <row r="169" spans="1:21" ht="13.5" customHeight="1" x14ac:dyDescent="0.35">
      <c r="A169" s="9">
        <v>172</v>
      </c>
      <c r="B169" s="10" t="s">
        <v>541</v>
      </c>
      <c r="C169" s="10" t="s">
        <v>522</v>
      </c>
      <c r="D169" s="10" t="s">
        <v>436</v>
      </c>
      <c r="E169" s="10" t="s">
        <v>542</v>
      </c>
      <c r="F169" s="10" t="s">
        <v>16</v>
      </c>
      <c r="G169" s="10">
        <v>500</v>
      </c>
      <c r="H169" s="10">
        <v>1150</v>
      </c>
      <c r="I169" s="10" t="s">
        <v>17</v>
      </c>
      <c r="J169" s="10" t="s">
        <v>486</v>
      </c>
      <c r="K169" s="10">
        <v>3076</v>
      </c>
      <c r="L169" s="10">
        <v>1480</v>
      </c>
      <c r="M169" s="10">
        <v>1740</v>
      </c>
      <c r="N169" s="10">
        <v>7.92</v>
      </c>
      <c r="O169" s="10">
        <v>110</v>
      </c>
      <c r="P169" s="10">
        <v>1</v>
      </c>
      <c r="Q169" s="10" t="s">
        <v>543</v>
      </c>
      <c r="R169" s="10" t="s">
        <v>475</v>
      </c>
      <c r="S169" s="10">
        <v>6190</v>
      </c>
      <c r="T169" s="10">
        <v>6080</v>
      </c>
      <c r="U169" s="14" t="s">
        <v>1402</v>
      </c>
    </row>
    <row r="170" spans="1:21" ht="15" x14ac:dyDescent="0.35">
      <c r="A170" s="9">
        <v>173</v>
      </c>
      <c r="B170" s="10" t="s">
        <v>544</v>
      </c>
      <c r="C170" s="10" t="s">
        <v>522</v>
      </c>
      <c r="D170" s="10" t="s">
        <v>436</v>
      </c>
      <c r="E170" s="10" t="s">
        <v>58</v>
      </c>
      <c r="F170" s="10" t="s">
        <v>16</v>
      </c>
      <c r="G170" s="10">
        <v>500</v>
      </c>
      <c r="H170" s="10">
        <v>1150</v>
      </c>
      <c r="I170" s="10" t="s">
        <v>17</v>
      </c>
      <c r="J170" s="10" t="s">
        <v>486</v>
      </c>
      <c r="K170" s="10">
        <v>3076</v>
      </c>
      <c r="L170" s="10">
        <v>1480</v>
      </c>
      <c r="M170" s="10">
        <v>1740</v>
      </c>
      <c r="N170" s="10">
        <v>7.92</v>
      </c>
      <c r="O170" s="10">
        <v>110</v>
      </c>
      <c r="P170" s="10">
        <v>1</v>
      </c>
      <c r="Q170" s="10" t="s">
        <v>487</v>
      </c>
      <c r="R170" s="10" t="s">
        <v>488</v>
      </c>
      <c r="S170" s="10">
        <v>6350</v>
      </c>
      <c r="T170" s="10">
        <v>6240</v>
      </c>
      <c r="U170" s="14" t="s">
        <v>1402</v>
      </c>
    </row>
    <row r="171" spans="1:21" ht="15" x14ac:dyDescent="0.35">
      <c r="A171" s="9">
        <v>174</v>
      </c>
      <c r="B171" s="10" t="s">
        <v>545</v>
      </c>
      <c r="C171" s="10" t="s">
        <v>522</v>
      </c>
      <c r="D171" s="10" t="s">
        <v>436</v>
      </c>
      <c r="E171" s="10" t="s">
        <v>58</v>
      </c>
      <c r="F171" s="10" t="s">
        <v>41</v>
      </c>
      <c r="G171" s="10">
        <v>500</v>
      </c>
      <c r="H171" s="10">
        <v>1170</v>
      </c>
      <c r="I171" s="10" t="s">
        <v>17</v>
      </c>
      <c r="J171" s="10" t="s">
        <v>491</v>
      </c>
      <c r="K171" s="10">
        <v>2976</v>
      </c>
      <c r="L171" s="10">
        <v>1480</v>
      </c>
      <c r="M171" s="10">
        <v>1740</v>
      </c>
      <c r="N171" s="10">
        <v>7.66</v>
      </c>
      <c r="O171" s="10">
        <v>107</v>
      </c>
      <c r="P171" s="10">
        <v>1</v>
      </c>
      <c r="Q171" s="10" t="s">
        <v>492</v>
      </c>
      <c r="R171" s="10" t="s">
        <v>488</v>
      </c>
      <c r="S171" s="10">
        <v>6387</v>
      </c>
      <c r="T171" s="10">
        <v>6280</v>
      </c>
      <c r="U171" s="14" t="s">
        <v>1402</v>
      </c>
    </row>
    <row r="172" spans="1:21" ht="15" x14ac:dyDescent="0.35">
      <c r="A172" s="9">
        <v>175</v>
      </c>
      <c r="B172" s="10" t="s">
        <v>546</v>
      </c>
      <c r="C172" s="10" t="s">
        <v>522</v>
      </c>
      <c r="D172" s="10" t="s">
        <v>436</v>
      </c>
      <c r="E172" s="10" t="s">
        <v>485</v>
      </c>
      <c r="F172" s="10" t="s">
        <v>16</v>
      </c>
      <c r="G172" s="10">
        <v>310</v>
      </c>
      <c r="H172" s="10">
        <v>1460</v>
      </c>
      <c r="I172" s="10" t="s">
        <v>17</v>
      </c>
      <c r="J172" s="10" t="s">
        <v>547</v>
      </c>
      <c r="K172" s="10">
        <v>2951</v>
      </c>
      <c r="L172" s="10">
        <v>1905</v>
      </c>
      <c r="M172" s="10">
        <v>1693</v>
      </c>
      <c r="N172" s="10">
        <v>9.52</v>
      </c>
      <c r="O172" s="10">
        <v>204</v>
      </c>
      <c r="P172" s="10">
        <v>1</v>
      </c>
      <c r="Q172" s="10" t="s">
        <v>548</v>
      </c>
      <c r="R172" s="10" t="s">
        <v>549</v>
      </c>
      <c r="S172" s="10">
        <v>6804</v>
      </c>
      <c r="T172" s="10">
        <v>6600</v>
      </c>
      <c r="U172" s="14" t="s">
        <v>1402</v>
      </c>
    </row>
    <row r="173" spans="1:21" ht="15" x14ac:dyDescent="0.35">
      <c r="A173" s="9">
        <v>176</v>
      </c>
      <c r="B173" s="10" t="s">
        <v>550</v>
      </c>
      <c r="C173" s="10" t="s">
        <v>522</v>
      </c>
      <c r="D173" s="10" t="s">
        <v>436</v>
      </c>
      <c r="E173" s="10" t="s">
        <v>485</v>
      </c>
      <c r="F173" s="10" t="s">
        <v>16</v>
      </c>
      <c r="G173" s="10">
        <v>500</v>
      </c>
      <c r="H173" s="10">
        <v>1150</v>
      </c>
      <c r="I173" s="10" t="s">
        <v>17</v>
      </c>
      <c r="J173" s="10" t="s">
        <v>486</v>
      </c>
      <c r="K173" s="10">
        <v>3076</v>
      </c>
      <c r="L173" s="10">
        <v>1480</v>
      </c>
      <c r="M173" s="10">
        <v>1740</v>
      </c>
      <c r="N173" s="10">
        <v>7.92</v>
      </c>
      <c r="O173" s="10">
        <v>110</v>
      </c>
      <c r="P173" s="10">
        <v>1</v>
      </c>
      <c r="Q173" s="10" t="s">
        <v>543</v>
      </c>
      <c r="R173" s="10" t="s">
        <v>475</v>
      </c>
      <c r="S173" s="10">
        <v>6610</v>
      </c>
      <c r="T173" s="10">
        <v>6500</v>
      </c>
      <c r="U173" s="14" t="s">
        <v>1402</v>
      </c>
    </row>
    <row r="174" spans="1:21" ht="15" x14ac:dyDescent="0.35">
      <c r="A174" s="9">
        <v>177</v>
      </c>
      <c r="B174" s="10" t="s">
        <v>551</v>
      </c>
      <c r="C174" s="10" t="s">
        <v>522</v>
      </c>
      <c r="D174" s="10" t="s">
        <v>436</v>
      </c>
      <c r="E174" s="10" t="s">
        <v>485</v>
      </c>
      <c r="F174" s="10" t="s">
        <v>41</v>
      </c>
      <c r="G174" s="10">
        <v>500</v>
      </c>
      <c r="H174" s="10">
        <v>1150</v>
      </c>
      <c r="I174" s="10" t="s">
        <v>17</v>
      </c>
      <c r="J174" s="10" t="s">
        <v>491</v>
      </c>
      <c r="K174" s="10">
        <v>2976</v>
      </c>
      <c r="L174" s="10">
        <v>1480</v>
      </c>
      <c r="M174" s="10">
        <v>1740</v>
      </c>
      <c r="N174" s="10">
        <v>7.66</v>
      </c>
      <c r="O174" s="10">
        <v>107</v>
      </c>
      <c r="P174" s="10">
        <v>1</v>
      </c>
      <c r="Q174" s="10" t="s">
        <v>492</v>
      </c>
      <c r="R174" s="10" t="s">
        <v>488</v>
      </c>
      <c r="S174" s="10">
        <v>6607</v>
      </c>
      <c r="T174" s="10">
        <v>6500</v>
      </c>
      <c r="U174" s="14" t="s">
        <v>1402</v>
      </c>
    </row>
    <row r="175" spans="1:21" ht="15" x14ac:dyDescent="0.35">
      <c r="A175" s="9">
        <v>178</v>
      </c>
      <c r="B175" s="10" t="s">
        <v>552</v>
      </c>
      <c r="C175" s="10" t="s">
        <v>522</v>
      </c>
      <c r="D175" s="10" t="s">
        <v>436</v>
      </c>
      <c r="E175" s="10" t="s">
        <v>485</v>
      </c>
      <c r="F175" s="10" t="s">
        <v>41</v>
      </c>
      <c r="G175" s="10">
        <v>500</v>
      </c>
      <c r="H175" s="10">
        <v>1150</v>
      </c>
      <c r="I175" s="10" t="s">
        <v>17</v>
      </c>
      <c r="J175" s="10" t="s">
        <v>491</v>
      </c>
      <c r="K175" s="10">
        <v>2976</v>
      </c>
      <c r="L175" s="10">
        <v>1480</v>
      </c>
      <c r="M175" s="10">
        <v>1740</v>
      </c>
      <c r="N175" s="10">
        <v>7.66</v>
      </c>
      <c r="O175" s="10">
        <v>115</v>
      </c>
      <c r="P175" s="10">
        <v>1</v>
      </c>
      <c r="Q175" s="10" t="s">
        <v>492</v>
      </c>
      <c r="R175" s="10" t="s">
        <v>488</v>
      </c>
      <c r="S175" s="10">
        <v>6565</v>
      </c>
      <c r="T175" s="10">
        <v>6450</v>
      </c>
      <c r="U175" s="14" t="s">
        <v>1402</v>
      </c>
    </row>
    <row r="176" spans="1:21" ht="15" x14ac:dyDescent="0.35">
      <c r="A176" s="9">
        <v>179</v>
      </c>
      <c r="B176" s="10" t="s">
        <v>553</v>
      </c>
      <c r="C176" s="10" t="s">
        <v>522</v>
      </c>
      <c r="D176" s="10" t="s">
        <v>436</v>
      </c>
      <c r="E176" s="10" t="s">
        <v>554</v>
      </c>
      <c r="F176" s="10" t="s">
        <v>16</v>
      </c>
      <c r="G176" s="10">
        <v>500</v>
      </c>
      <c r="H176" s="10">
        <v>1150</v>
      </c>
      <c r="I176" s="10" t="s">
        <v>17</v>
      </c>
      <c r="J176" s="10" t="s">
        <v>491</v>
      </c>
      <c r="K176" s="10">
        <v>2976</v>
      </c>
      <c r="L176" s="10">
        <v>1480</v>
      </c>
      <c r="M176" s="10">
        <v>1740</v>
      </c>
      <c r="N176" s="10">
        <v>7.66</v>
      </c>
      <c r="O176" s="10">
        <v>107</v>
      </c>
      <c r="P176" s="10">
        <v>1</v>
      </c>
      <c r="Q176" s="10" t="s">
        <v>555</v>
      </c>
      <c r="R176" s="10" t="s">
        <v>475</v>
      </c>
      <c r="S176" s="10">
        <v>6312</v>
      </c>
      <c r="T176" s="10">
        <v>6205</v>
      </c>
      <c r="U176" s="14" t="s">
        <v>1402</v>
      </c>
    </row>
    <row r="177" spans="1:21" ht="15" x14ac:dyDescent="0.35">
      <c r="A177" s="9">
        <v>180</v>
      </c>
      <c r="B177" s="10" t="s">
        <v>556</v>
      </c>
      <c r="C177" s="10" t="s">
        <v>522</v>
      </c>
      <c r="D177" s="10" t="s">
        <v>436</v>
      </c>
      <c r="E177" s="10" t="s">
        <v>554</v>
      </c>
      <c r="F177" s="10" t="s">
        <v>41</v>
      </c>
      <c r="G177" s="10">
        <v>500</v>
      </c>
      <c r="H177" s="10">
        <v>1150</v>
      </c>
      <c r="I177" s="10" t="s">
        <v>17</v>
      </c>
      <c r="J177" s="10" t="s">
        <v>491</v>
      </c>
      <c r="K177" s="10">
        <v>2976</v>
      </c>
      <c r="L177" s="10">
        <v>1480</v>
      </c>
      <c r="M177" s="10">
        <v>1740</v>
      </c>
      <c r="N177" s="10">
        <v>7.66</v>
      </c>
      <c r="O177" s="10">
        <v>107</v>
      </c>
      <c r="P177" s="10">
        <v>1</v>
      </c>
      <c r="Q177" s="10" t="s">
        <v>555</v>
      </c>
      <c r="R177" s="10" t="s">
        <v>475</v>
      </c>
      <c r="S177" s="10">
        <v>6157</v>
      </c>
      <c r="T177" s="10">
        <v>6050</v>
      </c>
      <c r="U177" s="14" t="s">
        <v>1402</v>
      </c>
    </row>
    <row r="178" spans="1:21" ht="15" x14ac:dyDescent="0.35">
      <c r="A178" s="9">
        <v>181</v>
      </c>
      <c r="B178" s="10" t="s">
        <v>557</v>
      </c>
      <c r="C178" s="10" t="s">
        <v>522</v>
      </c>
      <c r="D178" s="10" t="s">
        <v>436</v>
      </c>
      <c r="E178" s="10" t="s">
        <v>236</v>
      </c>
      <c r="F178" s="10" t="s">
        <v>16</v>
      </c>
      <c r="G178" s="10">
        <v>500</v>
      </c>
      <c r="H178" s="10">
        <v>1150</v>
      </c>
      <c r="I178" s="10" t="s">
        <v>17</v>
      </c>
      <c r="J178" s="10" t="s">
        <v>491</v>
      </c>
      <c r="K178" s="10">
        <v>2976</v>
      </c>
      <c r="L178" s="10">
        <v>1480</v>
      </c>
      <c r="M178" s="10">
        <v>1740</v>
      </c>
      <c r="N178" s="10">
        <v>7.66</v>
      </c>
      <c r="O178" s="10">
        <v>107</v>
      </c>
      <c r="P178" s="10">
        <v>1</v>
      </c>
      <c r="Q178" s="10" t="s">
        <v>555</v>
      </c>
      <c r="R178" s="10" t="s">
        <v>475</v>
      </c>
      <c r="S178" s="10">
        <v>6452</v>
      </c>
      <c r="T178" s="10">
        <v>6345</v>
      </c>
      <c r="U178" s="14" t="s">
        <v>1402</v>
      </c>
    </row>
    <row r="179" spans="1:21" ht="15" x14ac:dyDescent="0.35">
      <c r="A179" s="9">
        <v>182</v>
      </c>
      <c r="B179" s="10" t="s">
        <v>558</v>
      </c>
      <c r="C179" s="10" t="s">
        <v>522</v>
      </c>
      <c r="D179" s="10" t="s">
        <v>436</v>
      </c>
      <c r="E179" s="10" t="s">
        <v>241</v>
      </c>
      <c r="F179" s="10" t="s">
        <v>16</v>
      </c>
      <c r="G179" s="10">
        <v>500</v>
      </c>
      <c r="H179" s="10">
        <v>1150</v>
      </c>
      <c r="I179" s="10" t="s">
        <v>17</v>
      </c>
      <c r="J179" s="10" t="s">
        <v>491</v>
      </c>
      <c r="K179" s="10">
        <v>2976</v>
      </c>
      <c r="L179" s="10">
        <v>1480</v>
      </c>
      <c r="M179" s="10">
        <v>1740</v>
      </c>
      <c r="N179" s="10">
        <v>7.66</v>
      </c>
      <c r="O179" s="10">
        <v>118</v>
      </c>
      <c r="P179" s="10">
        <v>1</v>
      </c>
      <c r="Q179" s="10" t="s">
        <v>559</v>
      </c>
      <c r="R179" s="10" t="s">
        <v>560</v>
      </c>
      <c r="S179" s="10">
        <v>6648</v>
      </c>
      <c r="T179" s="10">
        <v>6530</v>
      </c>
      <c r="U179" s="14" t="s">
        <v>1402</v>
      </c>
    </row>
    <row r="180" spans="1:21" ht="15" x14ac:dyDescent="0.35">
      <c r="A180" s="9">
        <v>183</v>
      </c>
      <c r="B180" s="10" t="s">
        <v>561</v>
      </c>
      <c r="C180" s="10" t="s">
        <v>522</v>
      </c>
      <c r="D180" s="10" t="s">
        <v>436</v>
      </c>
      <c r="E180" s="10" t="s">
        <v>271</v>
      </c>
      <c r="F180" s="10" t="s">
        <v>16</v>
      </c>
      <c r="G180" s="10">
        <v>500</v>
      </c>
      <c r="H180" s="10">
        <v>1150</v>
      </c>
      <c r="I180" s="10" t="s">
        <v>17</v>
      </c>
      <c r="J180" s="10" t="s">
        <v>486</v>
      </c>
      <c r="K180" s="10">
        <v>3076</v>
      </c>
      <c r="L180" s="10">
        <v>1480</v>
      </c>
      <c r="M180" s="10">
        <v>1740</v>
      </c>
      <c r="N180" s="10">
        <v>7.92</v>
      </c>
      <c r="O180" s="10">
        <v>110</v>
      </c>
      <c r="P180" s="10">
        <v>1</v>
      </c>
      <c r="Q180" s="10" t="s">
        <v>487</v>
      </c>
      <c r="R180" s="10" t="s">
        <v>488</v>
      </c>
      <c r="S180" s="10">
        <v>7310</v>
      </c>
      <c r="T180" s="10">
        <v>7200</v>
      </c>
      <c r="U180" s="14" t="s">
        <v>1402</v>
      </c>
    </row>
    <row r="181" spans="1:21" ht="15" x14ac:dyDescent="0.35">
      <c r="A181" s="9">
        <v>184</v>
      </c>
      <c r="B181" s="10" t="s">
        <v>562</v>
      </c>
      <c r="C181" s="10" t="s">
        <v>522</v>
      </c>
      <c r="D181" s="10" t="s">
        <v>436</v>
      </c>
      <c r="E181" s="10" t="s">
        <v>563</v>
      </c>
      <c r="F181" s="10" t="s">
        <v>16</v>
      </c>
      <c r="G181" s="10">
        <v>500</v>
      </c>
      <c r="H181" s="10">
        <v>1150</v>
      </c>
      <c r="I181" s="10" t="s">
        <v>17</v>
      </c>
      <c r="J181" s="10" t="s">
        <v>503</v>
      </c>
      <c r="K181" s="10">
        <v>3176</v>
      </c>
      <c r="L181" s="10">
        <v>1480</v>
      </c>
      <c r="M181" s="10">
        <v>1800</v>
      </c>
      <c r="N181" s="10">
        <v>8.4600000000000009</v>
      </c>
      <c r="O181" s="10">
        <v>110</v>
      </c>
      <c r="P181" s="10">
        <v>1</v>
      </c>
      <c r="Q181" s="10" t="s">
        <v>504</v>
      </c>
      <c r="R181" s="10" t="s">
        <v>488</v>
      </c>
      <c r="S181" s="10">
        <v>6240</v>
      </c>
      <c r="T181" s="10">
        <v>6240</v>
      </c>
      <c r="U181" s="14" t="s">
        <v>1402</v>
      </c>
    </row>
    <row r="182" spans="1:21" ht="15" x14ac:dyDescent="0.35">
      <c r="A182" s="9">
        <v>185</v>
      </c>
      <c r="B182" s="10" t="s">
        <v>564</v>
      </c>
      <c r="C182" s="10" t="s">
        <v>565</v>
      </c>
      <c r="D182" s="10" t="s">
        <v>566</v>
      </c>
      <c r="E182" s="10" t="s">
        <v>567</v>
      </c>
      <c r="F182" s="10" t="s">
        <v>16</v>
      </c>
      <c r="G182" s="10">
        <v>500</v>
      </c>
      <c r="H182" s="10">
        <v>1150</v>
      </c>
      <c r="I182" s="10" t="s">
        <v>24</v>
      </c>
      <c r="J182" s="10" t="s">
        <v>568</v>
      </c>
      <c r="K182" s="10">
        <v>2960</v>
      </c>
      <c r="L182" s="10">
        <v>1550</v>
      </c>
      <c r="M182" s="10">
        <v>1870</v>
      </c>
      <c r="N182" s="10">
        <v>8.58</v>
      </c>
      <c r="O182" s="10">
        <v>122</v>
      </c>
      <c r="P182" s="10">
        <v>1</v>
      </c>
      <c r="Q182" s="10" t="s">
        <v>569</v>
      </c>
      <c r="R182" s="10" t="s">
        <v>570</v>
      </c>
      <c r="S182" s="10">
        <v>6842</v>
      </c>
      <c r="T182" s="10">
        <v>6720</v>
      </c>
      <c r="U182" s="14" t="s">
        <v>1402</v>
      </c>
    </row>
    <row r="183" spans="1:21" ht="15" x14ac:dyDescent="0.35">
      <c r="A183" s="9">
        <v>186</v>
      </c>
      <c r="B183" s="10" t="s">
        <v>571</v>
      </c>
      <c r="C183" s="10" t="s">
        <v>565</v>
      </c>
      <c r="D183" s="10" t="s">
        <v>566</v>
      </c>
      <c r="E183" s="10" t="s">
        <v>446</v>
      </c>
      <c r="F183" s="10" t="s">
        <v>16</v>
      </c>
      <c r="G183" s="10">
        <v>500</v>
      </c>
      <c r="H183" s="10">
        <v>1150</v>
      </c>
      <c r="I183" s="10" t="s">
        <v>17</v>
      </c>
      <c r="J183" s="10" t="s">
        <v>572</v>
      </c>
      <c r="K183" s="10">
        <v>2900</v>
      </c>
      <c r="L183" s="10">
        <v>2020</v>
      </c>
      <c r="M183" s="10">
        <v>2140</v>
      </c>
      <c r="N183" s="10">
        <v>12.54</v>
      </c>
      <c r="O183" s="10">
        <v>101</v>
      </c>
      <c r="P183" s="10">
        <v>1</v>
      </c>
      <c r="Q183" s="10" t="s">
        <v>573</v>
      </c>
      <c r="R183" s="10" t="s">
        <v>574</v>
      </c>
      <c r="S183" s="10">
        <v>6351</v>
      </c>
      <c r="T183" s="10">
        <v>6250</v>
      </c>
      <c r="U183" s="14" t="s">
        <v>1402</v>
      </c>
    </row>
    <row r="184" spans="1:21" ht="15" x14ac:dyDescent="0.35">
      <c r="A184" s="9">
        <v>187</v>
      </c>
      <c r="B184" s="10" t="s">
        <v>575</v>
      </c>
      <c r="C184" s="10" t="s">
        <v>565</v>
      </c>
      <c r="D184" s="10" t="s">
        <v>566</v>
      </c>
      <c r="E184" s="10" t="s">
        <v>451</v>
      </c>
      <c r="F184" s="10" t="s">
        <v>16</v>
      </c>
      <c r="G184" s="10">
        <v>500</v>
      </c>
      <c r="H184" s="10">
        <v>1150</v>
      </c>
      <c r="I184" s="10" t="s">
        <v>17</v>
      </c>
      <c r="J184" s="10" t="s">
        <v>447</v>
      </c>
      <c r="K184" s="10">
        <v>2776</v>
      </c>
      <c r="L184" s="10">
        <v>1480</v>
      </c>
      <c r="M184" s="10">
        <v>1740</v>
      </c>
      <c r="N184" s="10">
        <v>7.15</v>
      </c>
      <c r="O184" s="10">
        <v>101</v>
      </c>
      <c r="P184" s="10">
        <v>1</v>
      </c>
      <c r="Q184" s="10" t="s">
        <v>448</v>
      </c>
      <c r="R184" s="10" t="s">
        <v>449</v>
      </c>
      <c r="S184" s="10">
        <v>6501</v>
      </c>
      <c r="T184" s="10">
        <v>6400</v>
      </c>
      <c r="U184" s="14" t="s">
        <v>1402</v>
      </c>
    </row>
    <row r="185" spans="1:21" ht="15" x14ac:dyDescent="0.35">
      <c r="A185" s="9">
        <v>188</v>
      </c>
      <c r="B185" s="10" t="s">
        <v>576</v>
      </c>
      <c r="C185" s="10" t="s">
        <v>565</v>
      </c>
      <c r="D185" s="10" t="s">
        <v>566</v>
      </c>
      <c r="E185" s="10" t="s">
        <v>451</v>
      </c>
      <c r="F185" s="10" t="s">
        <v>41</v>
      </c>
      <c r="G185" s="10">
        <v>500</v>
      </c>
      <c r="H185" s="10">
        <v>1150</v>
      </c>
      <c r="I185" s="10" t="s">
        <v>17</v>
      </c>
      <c r="J185" s="10" t="s">
        <v>577</v>
      </c>
      <c r="K185" s="10">
        <v>2776</v>
      </c>
      <c r="L185" s="10">
        <v>1580</v>
      </c>
      <c r="M185" s="10">
        <v>1900</v>
      </c>
      <c r="N185" s="10">
        <v>8.33</v>
      </c>
      <c r="O185" s="10">
        <v>230</v>
      </c>
      <c r="P185" s="10">
        <v>1</v>
      </c>
      <c r="Q185" s="10" t="s">
        <v>448</v>
      </c>
      <c r="R185" s="10" t="s">
        <v>449</v>
      </c>
      <c r="S185" s="10">
        <v>6530</v>
      </c>
      <c r="T185" s="10">
        <v>6300</v>
      </c>
      <c r="U185" s="14" t="s">
        <v>1402</v>
      </c>
    </row>
    <row r="186" spans="1:21" ht="15" x14ac:dyDescent="0.35">
      <c r="A186" s="9">
        <v>189</v>
      </c>
      <c r="B186" s="10" t="s">
        <v>578</v>
      </c>
      <c r="C186" s="10" t="s">
        <v>565</v>
      </c>
      <c r="D186" s="10" t="s">
        <v>566</v>
      </c>
      <c r="E186" s="10" t="s">
        <v>451</v>
      </c>
      <c r="F186" s="10" t="s">
        <v>41</v>
      </c>
      <c r="G186" s="10">
        <v>500</v>
      </c>
      <c r="H186" s="10">
        <v>1150</v>
      </c>
      <c r="I186" s="10" t="s">
        <v>24</v>
      </c>
      <c r="J186" s="10" t="s">
        <v>528</v>
      </c>
      <c r="K186" s="10">
        <v>2776</v>
      </c>
      <c r="L186" s="10">
        <v>1480</v>
      </c>
      <c r="M186" s="10">
        <v>1870</v>
      </c>
      <c r="N186" s="10">
        <v>7.68</v>
      </c>
      <c r="O186" s="10">
        <v>101</v>
      </c>
      <c r="P186" s="10">
        <v>1</v>
      </c>
      <c r="Q186" s="10" t="s">
        <v>529</v>
      </c>
      <c r="R186" s="10" t="s">
        <v>475</v>
      </c>
      <c r="S186" s="10">
        <v>6401</v>
      </c>
      <c r="T186" s="10">
        <v>6300</v>
      </c>
      <c r="U186" s="14" t="s">
        <v>1402</v>
      </c>
    </row>
    <row r="187" spans="1:21" ht="15" x14ac:dyDescent="0.35">
      <c r="A187" s="9">
        <v>190</v>
      </c>
      <c r="B187" s="10" t="s">
        <v>579</v>
      </c>
      <c r="C187" s="10" t="s">
        <v>565</v>
      </c>
      <c r="D187" s="10" t="s">
        <v>566</v>
      </c>
      <c r="E187" s="10" t="s">
        <v>580</v>
      </c>
      <c r="F187" s="10" t="s">
        <v>16</v>
      </c>
      <c r="G187" s="10">
        <v>270</v>
      </c>
      <c r="H187" s="10">
        <v>1070</v>
      </c>
      <c r="I187" s="10" t="s">
        <v>17</v>
      </c>
      <c r="J187" s="10" t="s">
        <v>581</v>
      </c>
      <c r="K187" s="10">
        <v>2660</v>
      </c>
      <c r="L187" s="10">
        <v>1862</v>
      </c>
      <c r="M187" s="10">
        <v>1715</v>
      </c>
      <c r="N187" s="10">
        <v>8.49</v>
      </c>
      <c r="O187" s="10">
        <v>400</v>
      </c>
      <c r="P187" s="10">
        <v>1</v>
      </c>
      <c r="Q187" s="10" t="s">
        <v>582</v>
      </c>
      <c r="R187" s="10" t="s">
        <v>583</v>
      </c>
      <c r="S187" s="10">
        <v>5800</v>
      </c>
      <c r="T187" s="10">
        <v>5400</v>
      </c>
      <c r="U187" s="14" t="s">
        <v>1402</v>
      </c>
    </row>
    <row r="188" spans="1:21" ht="15" x14ac:dyDescent="0.35">
      <c r="A188" s="9">
        <v>191</v>
      </c>
      <c r="B188" s="10" t="s">
        <v>584</v>
      </c>
      <c r="C188" s="10" t="s">
        <v>565</v>
      </c>
      <c r="D188" s="10" t="s">
        <v>566</v>
      </c>
      <c r="E188" s="10" t="s">
        <v>580</v>
      </c>
      <c r="F188" s="10" t="s">
        <v>16</v>
      </c>
      <c r="G188" s="10">
        <v>500</v>
      </c>
      <c r="H188" s="10">
        <v>1150</v>
      </c>
      <c r="I188" s="10" t="s">
        <v>24</v>
      </c>
      <c r="J188" s="10" t="s">
        <v>585</v>
      </c>
      <c r="K188" s="10">
        <v>2900</v>
      </c>
      <c r="L188" s="10">
        <v>1580</v>
      </c>
      <c r="M188" s="10">
        <v>2200</v>
      </c>
      <c r="N188" s="10">
        <v>10.08</v>
      </c>
      <c r="O188" s="10">
        <v>239</v>
      </c>
      <c r="P188" s="10">
        <v>1</v>
      </c>
      <c r="Q188" s="10" t="s">
        <v>586</v>
      </c>
      <c r="R188" s="10" t="s">
        <v>587</v>
      </c>
      <c r="S188" s="10">
        <v>5739</v>
      </c>
      <c r="T188" s="10">
        <v>5500</v>
      </c>
      <c r="U188" s="14" t="s">
        <v>1402</v>
      </c>
    </row>
    <row r="189" spans="1:21" ht="15" x14ac:dyDescent="0.35">
      <c r="A189" s="9">
        <v>192</v>
      </c>
      <c r="B189" s="10" t="s">
        <v>588</v>
      </c>
      <c r="C189" s="10" t="s">
        <v>565</v>
      </c>
      <c r="D189" s="10" t="s">
        <v>566</v>
      </c>
      <c r="E189" s="10" t="s">
        <v>589</v>
      </c>
      <c r="F189" s="10" t="s">
        <v>16</v>
      </c>
      <c r="G189" s="10">
        <v>500</v>
      </c>
      <c r="H189" s="10">
        <v>1150</v>
      </c>
      <c r="I189" s="10" t="s">
        <v>17</v>
      </c>
      <c r="J189" s="10" t="s">
        <v>447</v>
      </c>
      <c r="K189" s="10">
        <v>2776</v>
      </c>
      <c r="L189" s="10">
        <v>1480</v>
      </c>
      <c r="M189" s="10">
        <v>1740</v>
      </c>
      <c r="N189" s="10">
        <v>7.15</v>
      </c>
      <c r="O189" s="10">
        <v>101</v>
      </c>
      <c r="P189" s="10">
        <v>1</v>
      </c>
      <c r="Q189" s="10" t="s">
        <v>590</v>
      </c>
      <c r="R189" s="10" t="s">
        <v>488</v>
      </c>
      <c r="S189" s="10">
        <v>5871</v>
      </c>
      <c r="T189" s="10">
        <v>5770</v>
      </c>
      <c r="U189" s="14" t="s">
        <v>1402</v>
      </c>
    </row>
    <row r="190" spans="1:21" ht="15" x14ac:dyDescent="0.35">
      <c r="A190" s="9">
        <v>193</v>
      </c>
      <c r="B190" s="10" t="s">
        <v>591</v>
      </c>
      <c r="C190" s="10" t="s">
        <v>565</v>
      </c>
      <c r="D190" s="10" t="s">
        <v>566</v>
      </c>
      <c r="E190" s="10" t="s">
        <v>589</v>
      </c>
      <c r="F190" s="10" t="s">
        <v>16</v>
      </c>
      <c r="G190" s="10">
        <v>500</v>
      </c>
      <c r="H190" s="10">
        <v>1150</v>
      </c>
      <c r="I190" s="10" t="s">
        <v>17</v>
      </c>
      <c r="J190" s="10" t="s">
        <v>592</v>
      </c>
      <c r="K190" s="10">
        <v>2900</v>
      </c>
      <c r="L190" s="10">
        <v>1580</v>
      </c>
      <c r="M190" s="10">
        <v>1800</v>
      </c>
      <c r="N190" s="10">
        <v>8.25</v>
      </c>
      <c r="O190" s="10">
        <v>239</v>
      </c>
      <c r="P190" s="10">
        <v>1</v>
      </c>
      <c r="Q190" s="10" t="s">
        <v>586</v>
      </c>
      <c r="R190" s="10" t="s">
        <v>587</v>
      </c>
      <c r="S190" s="10">
        <v>5989</v>
      </c>
      <c r="T190" s="10">
        <v>5750</v>
      </c>
      <c r="U190" s="14" t="s">
        <v>1402</v>
      </c>
    </row>
    <row r="191" spans="1:21" ht="15" x14ac:dyDescent="0.35">
      <c r="A191" s="9">
        <v>194</v>
      </c>
      <c r="B191" s="10" t="s">
        <v>593</v>
      </c>
      <c r="C191" s="10" t="s">
        <v>565</v>
      </c>
      <c r="D191" s="10" t="s">
        <v>566</v>
      </c>
      <c r="E191" s="10" t="s">
        <v>589</v>
      </c>
      <c r="F191" s="10" t="s">
        <v>16</v>
      </c>
      <c r="G191" s="10">
        <v>500</v>
      </c>
      <c r="H191" s="10">
        <v>1150</v>
      </c>
      <c r="I191" s="10" t="s">
        <v>594</v>
      </c>
      <c r="J191" s="10" t="s">
        <v>595</v>
      </c>
      <c r="K191" s="10">
        <v>2739</v>
      </c>
      <c r="L191" s="10">
        <v>2223</v>
      </c>
      <c r="M191" s="10">
        <v>2200</v>
      </c>
      <c r="N191" s="10">
        <v>13.4</v>
      </c>
      <c r="O191" s="10">
        <v>182</v>
      </c>
      <c r="P191" s="10">
        <v>1</v>
      </c>
      <c r="Q191" s="10" t="s">
        <v>596</v>
      </c>
      <c r="R191" s="10" t="s">
        <v>597</v>
      </c>
      <c r="S191" s="10">
        <v>7782</v>
      </c>
      <c r="T191" s="10">
        <v>7600</v>
      </c>
      <c r="U191" s="14" t="s">
        <v>1402</v>
      </c>
    </row>
    <row r="192" spans="1:21" ht="15" x14ac:dyDescent="0.35">
      <c r="A192" s="9">
        <v>195</v>
      </c>
      <c r="B192" s="10" t="s">
        <v>598</v>
      </c>
      <c r="C192" s="10" t="s">
        <v>565</v>
      </c>
      <c r="D192" s="10" t="s">
        <v>566</v>
      </c>
      <c r="E192" s="10" t="s">
        <v>485</v>
      </c>
      <c r="F192" s="10" t="s">
        <v>16</v>
      </c>
      <c r="G192" s="10">
        <v>500</v>
      </c>
      <c r="H192" s="10">
        <v>1150</v>
      </c>
      <c r="I192" s="10" t="s">
        <v>17</v>
      </c>
      <c r="J192" s="10" t="s">
        <v>486</v>
      </c>
      <c r="K192" s="10">
        <v>3076</v>
      </c>
      <c r="L192" s="10">
        <v>1480</v>
      </c>
      <c r="M192" s="10">
        <v>1740</v>
      </c>
      <c r="N192" s="10">
        <v>7.92</v>
      </c>
      <c r="O192" s="10">
        <v>110</v>
      </c>
      <c r="P192" s="10">
        <v>1</v>
      </c>
      <c r="Q192" s="10" t="s">
        <v>543</v>
      </c>
      <c r="R192" s="10" t="s">
        <v>475</v>
      </c>
      <c r="S192" s="10">
        <v>6610</v>
      </c>
      <c r="T192" s="10">
        <v>6500</v>
      </c>
      <c r="U192" s="14" t="s">
        <v>1402</v>
      </c>
    </row>
    <row r="193" spans="1:21" ht="15" x14ac:dyDescent="0.35">
      <c r="A193" s="9">
        <v>196</v>
      </c>
      <c r="B193" s="10" t="s">
        <v>599</v>
      </c>
      <c r="C193" s="10" t="s">
        <v>566</v>
      </c>
      <c r="D193" s="10" t="s">
        <v>566</v>
      </c>
      <c r="E193" s="10" t="s">
        <v>600</v>
      </c>
      <c r="F193" s="10" t="s">
        <v>16</v>
      </c>
      <c r="G193" s="10">
        <v>296</v>
      </c>
      <c r="H193" s="10">
        <v>1092</v>
      </c>
      <c r="I193" s="10" t="s">
        <v>17</v>
      </c>
      <c r="J193" s="10" t="s">
        <v>601</v>
      </c>
      <c r="K193" s="10">
        <v>2860</v>
      </c>
      <c r="L193" s="10">
        <v>1592</v>
      </c>
      <c r="M193" s="10">
        <v>1688</v>
      </c>
      <c r="N193" s="10">
        <v>7.69</v>
      </c>
      <c r="O193" s="10">
        <v>133</v>
      </c>
      <c r="P193" s="10">
        <v>1</v>
      </c>
      <c r="Q193" s="10" t="s">
        <v>602</v>
      </c>
      <c r="R193" s="10" t="s">
        <v>603</v>
      </c>
      <c r="S193" s="10">
        <v>6663</v>
      </c>
      <c r="T193" s="10">
        <v>6530</v>
      </c>
      <c r="U193" s="14" t="s">
        <v>1402</v>
      </c>
    </row>
    <row r="194" spans="1:21" ht="15" x14ac:dyDescent="0.35">
      <c r="A194" s="9">
        <v>197</v>
      </c>
      <c r="B194" s="10" t="s">
        <v>604</v>
      </c>
      <c r="C194" s="10" t="s">
        <v>565</v>
      </c>
      <c r="D194" s="10" t="s">
        <v>566</v>
      </c>
      <c r="E194" s="10" t="s">
        <v>600</v>
      </c>
      <c r="F194" s="10" t="s">
        <v>16</v>
      </c>
      <c r="G194" s="10">
        <v>500</v>
      </c>
      <c r="H194" s="10">
        <v>1150</v>
      </c>
      <c r="I194" s="10" t="s">
        <v>17</v>
      </c>
      <c r="J194" s="10" t="s">
        <v>491</v>
      </c>
      <c r="K194" s="10">
        <v>2976</v>
      </c>
      <c r="L194" s="10">
        <v>1480</v>
      </c>
      <c r="M194" s="10">
        <v>1740</v>
      </c>
      <c r="N194" s="10">
        <v>7.66</v>
      </c>
      <c r="O194" s="10">
        <v>107</v>
      </c>
      <c r="P194" s="10">
        <v>1</v>
      </c>
      <c r="Q194" s="10" t="s">
        <v>555</v>
      </c>
      <c r="R194" s="10" t="s">
        <v>475</v>
      </c>
      <c r="S194" s="10">
        <v>6402</v>
      </c>
      <c r="T194" s="10">
        <v>6295</v>
      </c>
      <c r="U194" s="14" t="s">
        <v>1402</v>
      </c>
    </row>
    <row r="195" spans="1:21" ht="15" x14ac:dyDescent="0.35">
      <c r="A195" s="9">
        <v>198</v>
      </c>
      <c r="B195" s="10" t="s">
        <v>605</v>
      </c>
      <c r="C195" s="10" t="s">
        <v>565</v>
      </c>
      <c r="D195" s="10" t="s">
        <v>566</v>
      </c>
      <c r="E195" s="10" t="s">
        <v>606</v>
      </c>
      <c r="F195" s="10" t="s">
        <v>16</v>
      </c>
      <c r="G195" s="10">
        <v>500</v>
      </c>
      <c r="H195" s="10">
        <v>1150</v>
      </c>
      <c r="I195" s="10" t="s">
        <v>17</v>
      </c>
      <c r="J195" s="10" t="s">
        <v>491</v>
      </c>
      <c r="K195" s="10">
        <v>2976</v>
      </c>
      <c r="L195" s="10">
        <v>1480</v>
      </c>
      <c r="M195" s="10">
        <v>1740</v>
      </c>
      <c r="N195" s="10">
        <v>7.66</v>
      </c>
      <c r="O195" s="10">
        <v>107</v>
      </c>
      <c r="P195" s="10">
        <v>1</v>
      </c>
      <c r="Q195" s="10" t="s">
        <v>607</v>
      </c>
      <c r="R195" s="10" t="s">
        <v>488</v>
      </c>
      <c r="S195" s="10">
        <v>5207</v>
      </c>
      <c r="T195" s="10">
        <v>5100</v>
      </c>
      <c r="U195" s="14" t="s">
        <v>1402</v>
      </c>
    </row>
    <row r="196" spans="1:21" ht="15" x14ac:dyDescent="0.35">
      <c r="A196" s="9">
        <v>199</v>
      </c>
      <c r="B196" s="10" t="s">
        <v>608</v>
      </c>
      <c r="C196" s="10" t="s">
        <v>565</v>
      </c>
      <c r="D196" s="10" t="s">
        <v>566</v>
      </c>
      <c r="E196" s="10" t="s">
        <v>606</v>
      </c>
      <c r="F196" s="10" t="s">
        <v>41</v>
      </c>
      <c r="G196" s="10">
        <v>500</v>
      </c>
      <c r="H196" s="10">
        <v>1150</v>
      </c>
      <c r="I196" s="10" t="s">
        <v>17</v>
      </c>
      <c r="J196" s="10" t="s">
        <v>491</v>
      </c>
      <c r="K196" s="10">
        <v>2976</v>
      </c>
      <c r="L196" s="10">
        <v>1480</v>
      </c>
      <c r="M196" s="10">
        <v>1740</v>
      </c>
      <c r="N196" s="10">
        <v>7.66</v>
      </c>
      <c r="O196" s="52">
        <v>110</v>
      </c>
      <c r="P196" s="10">
        <v>1</v>
      </c>
      <c r="Q196" s="10" t="s">
        <v>492</v>
      </c>
      <c r="R196" s="10" t="s">
        <v>488</v>
      </c>
      <c r="S196" s="10">
        <v>10350</v>
      </c>
      <c r="T196" s="10">
        <v>5100</v>
      </c>
      <c r="U196" s="14" t="s">
        <v>1402</v>
      </c>
    </row>
    <row r="197" spans="1:21" ht="15" x14ac:dyDescent="0.35">
      <c r="A197" s="9">
        <v>200</v>
      </c>
      <c r="B197" s="10" t="s">
        <v>609</v>
      </c>
      <c r="C197" s="10" t="s">
        <v>565</v>
      </c>
      <c r="D197" s="10" t="s">
        <v>566</v>
      </c>
      <c r="E197" s="10" t="s">
        <v>490</v>
      </c>
      <c r="F197" s="10" t="s">
        <v>16</v>
      </c>
      <c r="G197" s="10">
        <v>450</v>
      </c>
      <c r="H197" s="10">
        <v>1150</v>
      </c>
      <c r="I197" s="10" t="s">
        <v>17</v>
      </c>
      <c r="J197" s="10" t="s">
        <v>610</v>
      </c>
      <c r="K197" s="10">
        <v>2700</v>
      </c>
      <c r="L197" s="10">
        <v>1380</v>
      </c>
      <c r="M197" s="10">
        <v>1700</v>
      </c>
      <c r="N197" s="10">
        <v>6.33</v>
      </c>
      <c r="O197" s="10">
        <v>110</v>
      </c>
      <c r="P197" s="10">
        <v>1</v>
      </c>
      <c r="Q197" s="10" t="s">
        <v>611</v>
      </c>
      <c r="R197" s="10" t="s">
        <v>612</v>
      </c>
      <c r="S197" s="10">
        <v>5610</v>
      </c>
      <c r="T197" s="10">
        <v>5500</v>
      </c>
      <c r="U197" s="14" t="s">
        <v>1402</v>
      </c>
    </row>
    <row r="198" spans="1:21" ht="15" x14ac:dyDescent="0.35">
      <c r="A198" s="9">
        <v>201</v>
      </c>
      <c r="B198" s="10" t="s">
        <v>613</v>
      </c>
      <c r="C198" s="10" t="s">
        <v>565</v>
      </c>
      <c r="D198" s="10" t="s">
        <v>566</v>
      </c>
      <c r="E198" s="10" t="s">
        <v>490</v>
      </c>
      <c r="F198" s="10" t="s">
        <v>16</v>
      </c>
      <c r="G198" s="10">
        <v>500</v>
      </c>
      <c r="H198" s="10">
        <v>1150</v>
      </c>
      <c r="I198" s="10" t="s">
        <v>17</v>
      </c>
      <c r="J198" s="10" t="s">
        <v>491</v>
      </c>
      <c r="K198" s="10">
        <v>2976</v>
      </c>
      <c r="L198" s="10">
        <v>1480</v>
      </c>
      <c r="M198" s="10">
        <v>1740</v>
      </c>
      <c r="N198" s="10">
        <v>7.66</v>
      </c>
      <c r="O198" s="10">
        <v>107</v>
      </c>
      <c r="P198" s="10">
        <v>1</v>
      </c>
      <c r="Q198" s="10" t="s">
        <v>492</v>
      </c>
      <c r="R198" s="10" t="s">
        <v>488</v>
      </c>
      <c r="S198" s="10">
        <v>5702</v>
      </c>
      <c r="T198" s="10">
        <v>5595</v>
      </c>
      <c r="U198" s="14" t="s">
        <v>1402</v>
      </c>
    </row>
    <row r="199" spans="1:21" ht="15" x14ac:dyDescent="0.35">
      <c r="A199" s="9">
        <v>202</v>
      </c>
      <c r="B199" s="10" t="s">
        <v>614</v>
      </c>
      <c r="C199" s="10" t="s">
        <v>565</v>
      </c>
      <c r="D199" s="10" t="s">
        <v>566</v>
      </c>
      <c r="E199" s="10" t="s">
        <v>490</v>
      </c>
      <c r="F199" s="10" t="s">
        <v>41</v>
      </c>
      <c r="G199" s="10">
        <v>500</v>
      </c>
      <c r="H199" s="10">
        <v>1150</v>
      </c>
      <c r="I199" s="10" t="s">
        <v>17</v>
      </c>
      <c r="J199" s="10" t="s">
        <v>491</v>
      </c>
      <c r="K199" s="10">
        <v>2976</v>
      </c>
      <c r="L199" s="10">
        <v>1480</v>
      </c>
      <c r="M199" s="10">
        <v>1740</v>
      </c>
      <c r="N199" s="10">
        <v>7.66</v>
      </c>
      <c r="O199" s="10">
        <v>107</v>
      </c>
      <c r="P199" s="10">
        <v>1</v>
      </c>
      <c r="Q199" s="10" t="s">
        <v>555</v>
      </c>
      <c r="R199" s="10" t="s">
        <v>475</v>
      </c>
      <c r="S199" s="10">
        <v>6557</v>
      </c>
      <c r="T199" s="10">
        <v>6450</v>
      </c>
      <c r="U199" s="14" t="s">
        <v>1402</v>
      </c>
    </row>
    <row r="200" spans="1:21" ht="15" x14ac:dyDescent="0.35">
      <c r="A200" s="9">
        <v>203</v>
      </c>
      <c r="B200" s="10" t="s">
        <v>615</v>
      </c>
      <c r="C200" s="10" t="s">
        <v>565</v>
      </c>
      <c r="D200" s="10" t="s">
        <v>566</v>
      </c>
      <c r="E200" s="10" t="s">
        <v>494</v>
      </c>
      <c r="F200" s="10" t="s">
        <v>16</v>
      </c>
      <c r="G200" s="10">
        <v>500</v>
      </c>
      <c r="H200" s="10">
        <v>1150</v>
      </c>
      <c r="I200" s="10" t="s">
        <v>17</v>
      </c>
      <c r="J200" s="10" t="s">
        <v>491</v>
      </c>
      <c r="K200" s="10">
        <v>2976</v>
      </c>
      <c r="L200" s="10">
        <v>1480</v>
      </c>
      <c r="M200" s="10">
        <v>1740</v>
      </c>
      <c r="N200" s="10">
        <v>7.66</v>
      </c>
      <c r="O200" s="10">
        <v>107</v>
      </c>
      <c r="P200" s="10">
        <v>1</v>
      </c>
      <c r="Q200" s="10" t="s">
        <v>492</v>
      </c>
      <c r="R200" s="10" t="s">
        <v>488</v>
      </c>
      <c r="S200" s="10">
        <v>5557</v>
      </c>
      <c r="T200" s="10">
        <v>5450</v>
      </c>
      <c r="U200" s="14" t="s">
        <v>1402</v>
      </c>
    </row>
    <row r="201" spans="1:21" ht="15" x14ac:dyDescent="0.35">
      <c r="A201" s="9">
        <v>204</v>
      </c>
      <c r="B201" s="10" t="s">
        <v>616</v>
      </c>
      <c r="C201" s="10" t="s">
        <v>565</v>
      </c>
      <c r="D201" s="10" t="s">
        <v>566</v>
      </c>
      <c r="E201" s="10" t="s">
        <v>494</v>
      </c>
      <c r="F201" s="10" t="s">
        <v>41</v>
      </c>
      <c r="G201" s="10">
        <v>500</v>
      </c>
      <c r="H201" s="10">
        <v>1150</v>
      </c>
      <c r="I201" s="10" t="s">
        <v>17</v>
      </c>
      <c r="J201" s="10" t="s">
        <v>491</v>
      </c>
      <c r="K201" s="10">
        <v>2976</v>
      </c>
      <c r="L201" s="10">
        <v>1480</v>
      </c>
      <c r="M201" s="10">
        <v>1740</v>
      </c>
      <c r="N201" s="10">
        <v>7.66</v>
      </c>
      <c r="O201" s="10">
        <v>107</v>
      </c>
      <c r="P201" s="10">
        <v>1</v>
      </c>
      <c r="Q201" s="10" t="s">
        <v>492</v>
      </c>
      <c r="R201" s="10" t="s">
        <v>488</v>
      </c>
      <c r="S201" s="10">
        <v>5307</v>
      </c>
      <c r="T201" s="10">
        <v>5200</v>
      </c>
      <c r="U201" s="14" t="s">
        <v>1402</v>
      </c>
    </row>
    <row r="202" spans="1:21" ht="15" x14ac:dyDescent="0.35">
      <c r="A202" s="9">
        <v>205</v>
      </c>
      <c r="B202" s="10" t="s">
        <v>617</v>
      </c>
      <c r="C202" s="10" t="s">
        <v>565</v>
      </c>
      <c r="D202" s="10" t="s">
        <v>566</v>
      </c>
      <c r="E202" s="10" t="s">
        <v>496</v>
      </c>
      <c r="F202" s="10" t="s">
        <v>16</v>
      </c>
      <c r="G202" s="10">
        <v>500</v>
      </c>
      <c r="H202" s="10">
        <v>1150</v>
      </c>
      <c r="I202" s="10" t="s">
        <v>17</v>
      </c>
      <c r="J202" s="10" t="s">
        <v>491</v>
      </c>
      <c r="K202" s="10">
        <v>2976</v>
      </c>
      <c r="L202" s="10">
        <v>1480</v>
      </c>
      <c r="M202" s="10">
        <v>1740</v>
      </c>
      <c r="N202" s="10">
        <v>7.66</v>
      </c>
      <c r="O202" s="10">
        <v>107</v>
      </c>
      <c r="P202" s="10">
        <v>1</v>
      </c>
      <c r="Q202" s="10" t="s">
        <v>555</v>
      </c>
      <c r="R202" s="10" t="s">
        <v>475</v>
      </c>
      <c r="S202" s="10">
        <v>6002</v>
      </c>
      <c r="T202" s="10">
        <v>5895</v>
      </c>
      <c r="U202" s="14" t="s">
        <v>1402</v>
      </c>
    </row>
    <row r="203" spans="1:21" ht="15" x14ac:dyDescent="0.35">
      <c r="A203" s="9">
        <v>206</v>
      </c>
      <c r="B203" s="10" t="s">
        <v>618</v>
      </c>
      <c r="C203" s="10" t="s">
        <v>565</v>
      </c>
      <c r="D203" s="10" t="s">
        <v>566</v>
      </c>
      <c r="E203" s="10" t="s">
        <v>496</v>
      </c>
      <c r="F203" s="10" t="s">
        <v>41</v>
      </c>
      <c r="G203" s="10">
        <v>500</v>
      </c>
      <c r="H203" s="10">
        <v>1150</v>
      </c>
      <c r="I203" s="10" t="s">
        <v>17</v>
      </c>
      <c r="J203" s="10" t="s">
        <v>619</v>
      </c>
      <c r="K203" s="10">
        <v>3080</v>
      </c>
      <c r="L203" s="10">
        <v>1780</v>
      </c>
      <c r="M203" s="10">
        <v>1800</v>
      </c>
      <c r="N203" s="10">
        <v>9.8699999999999992</v>
      </c>
      <c r="O203" s="10">
        <v>165</v>
      </c>
      <c r="P203" s="10">
        <v>1</v>
      </c>
      <c r="Q203" s="10" t="s">
        <v>620</v>
      </c>
      <c r="R203" s="10" t="s">
        <v>621</v>
      </c>
      <c r="S203" s="10">
        <v>6265</v>
      </c>
      <c r="T203" s="10">
        <v>6100</v>
      </c>
      <c r="U203" s="14" t="s">
        <v>1402</v>
      </c>
    </row>
    <row r="204" spans="1:21" ht="15" x14ac:dyDescent="0.35">
      <c r="A204" s="9">
        <v>207</v>
      </c>
      <c r="B204" s="10" t="s">
        <v>622</v>
      </c>
      <c r="C204" s="10" t="s">
        <v>565</v>
      </c>
      <c r="D204" s="10" t="s">
        <v>566</v>
      </c>
      <c r="E204" s="10" t="s">
        <v>502</v>
      </c>
      <c r="F204" s="10" t="s">
        <v>16</v>
      </c>
      <c r="G204" s="10">
        <v>296</v>
      </c>
      <c r="H204" s="10">
        <v>1092</v>
      </c>
      <c r="I204" s="10" t="s">
        <v>17</v>
      </c>
      <c r="J204" s="10" t="s">
        <v>623</v>
      </c>
      <c r="K204" s="10">
        <v>3060</v>
      </c>
      <c r="L204" s="10">
        <v>1592</v>
      </c>
      <c r="M204" s="10">
        <v>1688</v>
      </c>
      <c r="N204" s="10">
        <v>8.2200000000000006</v>
      </c>
      <c r="O204" s="10">
        <v>136</v>
      </c>
      <c r="P204" s="10">
        <v>1</v>
      </c>
      <c r="Q204" s="10" t="s">
        <v>624</v>
      </c>
      <c r="R204" s="10" t="s">
        <v>603</v>
      </c>
      <c r="S204" s="10">
        <v>6591</v>
      </c>
      <c r="T204" s="10">
        <v>6455</v>
      </c>
      <c r="U204" s="14" t="s">
        <v>1402</v>
      </c>
    </row>
    <row r="205" spans="1:21" ht="15" x14ac:dyDescent="0.35">
      <c r="A205" s="9">
        <v>208</v>
      </c>
      <c r="B205" s="10" t="s">
        <v>625</v>
      </c>
      <c r="C205" s="10" t="s">
        <v>565</v>
      </c>
      <c r="D205" s="10" t="s">
        <v>566</v>
      </c>
      <c r="E205" s="10" t="s">
        <v>502</v>
      </c>
      <c r="F205" s="10" t="s">
        <v>41</v>
      </c>
      <c r="G205" s="10">
        <v>500</v>
      </c>
      <c r="H205" s="10">
        <v>1150</v>
      </c>
      <c r="I205" s="10" t="s">
        <v>17</v>
      </c>
      <c r="J205" s="10" t="s">
        <v>626</v>
      </c>
      <c r="K205" s="10">
        <v>3176</v>
      </c>
      <c r="L205" s="10">
        <v>1480</v>
      </c>
      <c r="M205" s="10">
        <v>1740</v>
      </c>
      <c r="N205" s="10">
        <v>8.18</v>
      </c>
      <c r="O205" s="10">
        <v>113</v>
      </c>
      <c r="P205" s="10">
        <v>1</v>
      </c>
      <c r="Q205" s="10" t="s">
        <v>504</v>
      </c>
      <c r="R205" s="10" t="s">
        <v>488</v>
      </c>
      <c r="S205" s="10">
        <v>6263</v>
      </c>
      <c r="T205" s="10">
        <v>6150</v>
      </c>
      <c r="U205" s="14" t="s">
        <v>1402</v>
      </c>
    </row>
    <row r="206" spans="1:21" ht="15" x14ac:dyDescent="0.35">
      <c r="A206" s="9">
        <v>209</v>
      </c>
      <c r="B206" s="10" t="s">
        <v>627</v>
      </c>
      <c r="C206" s="10" t="s">
        <v>565</v>
      </c>
      <c r="D206" s="10" t="s">
        <v>566</v>
      </c>
      <c r="E206" s="10" t="s">
        <v>506</v>
      </c>
      <c r="F206" s="10" t="s">
        <v>16</v>
      </c>
      <c r="G206" s="10">
        <v>500</v>
      </c>
      <c r="H206" s="10">
        <v>1150</v>
      </c>
      <c r="I206" s="10" t="s">
        <v>17</v>
      </c>
      <c r="J206" s="10" t="s">
        <v>626</v>
      </c>
      <c r="K206" s="10">
        <v>3176</v>
      </c>
      <c r="L206" s="10">
        <v>1480</v>
      </c>
      <c r="M206" s="10">
        <v>1740</v>
      </c>
      <c r="N206" s="10">
        <v>8.18</v>
      </c>
      <c r="O206" s="10">
        <v>113</v>
      </c>
      <c r="P206" s="10">
        <v>1</v>
      </c>
      <c r="Q206" s="10" t="s">
        <v>504</v>
      </c>
      <c r="R206" s="10" t="s">
        <v>488</v>
      </c>
      <c r="S206" s="10">
        <v>6113</v>
      </c>
      <c r="T206" s="10">
        <v>6000</v>
      </c>
      <c r="U206" s="14" t="s">
        <v>1402</v>
      </c>
    </row>
    <row r="207" spans="1:21" ht="15" x14ac:dyDescent="0.35">
      <c r="A207" s="9">
        <v>210</v>
      </c>
      <c r="B207" s="10" t="s">
        <v>628</v>
      </c>
      <c r="C207" s="10" t="s">
        <v>565</v>
      </c>
      <c r="D207" s="10" t="s">
        <v>566</v>
      </c>
      <c r="E207" s="10" t="s">
        <v>506</v>
      </c>
      <c r="F207" s="10" t="s">
        <v>41</v>
      </c>
      <c r="G207" s="10">
        <v>500</v>
      </c>
      <c r="H207" s="10">
        <v>1150</v>
      </c>
      <c r="I207" s="10" t="s">
        <v>17</v>
      </c>
      <c r="J207" s="10" t="s">
        <v>626</v>
      </c>
      <c r="K207" s="10">
        <v>3176</v>
      </c>
      <c r="L207" s="10">
        <v>1480</v>
      </c>
      <c r="M207" s="10">
        <v>1740</v>
      </c>
      <c r="N207" s="10">
        <v>8.18</v>
      </c>
      <c r="O207" s="10">
        <v>113</v>
      </c>
      <c r="P207" s="10">
        <v>1</v>
      </c>
      <c r="Q207" s="10" t="s">
        <v>504</v>
      </c>
      <c r="R207" s="10" t="s">
        <v>488</v>
      </c>
      <c r="S207" s="10">
        <v>6113</v>
      </c>
      <c r="T207" s="10">
        <v>6000</v>
      </c>
      <c r="U207" s="14" t="s">
        <v>1402</v>
      </c>
    </row>
    <row r="208" spans="1:21" ht="15" x14ac:dyDescent="0.35">
      <c r="A208" s="9">
        <v>211</v>
      </c>
      <c r="B208" s="10" t="s">
        <v>629</v>
      </c>
      <c r="C208" s="10" t="s">
        <v>565</v>
      </c>
      <c r="D208" s="10" t="s">
        <v>566</v>
      </c>
      <c r="E208" s="10" t="s">
        <v>630</v>
      </c>
      <c r="F208" s="10" t="s">
        <v>16</v>
      </c>
      <c r="G208" s="10">
        <v>500</v>
      </c>
      <c r="H208" s="10">
        <v>1150</v>
      </c>
      <c r="I208" s="10" t="s">
        <v>17</v>
      </c>
      <c r="J208" s="10" t="s">
        <v>503</v>
      </c>
      <c r="K208" s="10">
        <v>3176</v>
      </c>
      <c r="L208" s="10">
        <v>1480</v>
      </c>
      <c r="M208" s="10">
        <v>1800</v>
      </c>
      <c r="N208" s="10">
        <v>8.4600000000000009</v>
      </c>
      <c r="O208" s="10">
        <v>113</v>
      </c>
      <c r="P208" s="10">
        <v>1</v>
      </c>
      <c r="Q208" s="10" t="s">
        <v>504</v>
      </c>
      <c r="R208" s="10" t="s">
        <v>488</v>
      </c>
      <c r="S208" s="10">
        <v>7058</v>
      </c>
      <c r="T208" s="10">
        <v>6945</v>
      </c>
      <c r="U208" s="14" t="s">
        <v>1402</v>
      </c>
    </row>
    <row r="209" spans="1:21" ht="15" x14ac:dyDescent="0.35">
      <c r="A209" s="9">
        <v>212</v>
      </c>
      <c r="B209" s="10" t="s">
        <v>631</v>
      </c>
      <c r="C209" s="10" t="s">
        <v>565</v>
      </c>
      <c r="D209" s="10" t="s">
        <v>566</v>
      </c>
      <c r="E209" s="10" t="s">
        <v>630</v>
      </c>
      <c r="F209" s="10" t="s">
        <v>41</v>
      </c>
      <c r="G209" s="10">
        <v>500</v>
      </c>
      <c r="H209" s="10">
        <v>1150</v>
      </c>
      <c r="I209" s="10" t="s">
        <v>17</v>
      </c>
      <c r="J209" s="10" t="s">
        <v>503</v>
      </c>
      <c r="K209" s="10">
        <v>3176</v>
      </c>
      <c r="L209" s="10">
        <v>1480</v>
      </c>
      <c r="M209" s="10">
        <v>1800</v>
      </c>
      <c r="N209" s="10">
        <v>8.4600000000000009</v>
      </c>
      <c r="O209" s="10">
        <v>113</v>
      </c>
      <c r="P209" s="10">
        <v>1</v>
      </c>
      <c r="Q209" s="10" t="s">
        <v>504</v>
      </c>
      <c r="R209" s="10" t="s">
        <v>488</v>
      </c>
      <c r="S209" s="10">
        <v>6763</v>
      </c>
      <c r="T209" s="10">
        <v>6650</v>
      </c>
      <c r="U209" s="14" t="s">
        <v>1402</v>
      </c>
    </row>
    <row r="210" spans="1:21" ht="15" x14ac:dyDescent="0.35">
      <c r="A210" s="9">
        <v>213</v>
      </c>
      <c r="B210" s="10" t="s">
        <v>632</v>
      </c>
      <c r="C210" s="10" t="s">
        <v>565</v>
      </c>
      <c r="D210" s="10" t="s">
        <v>566</v>
      </c>
      <c r="E210" s="10" t="s">
        <v>633</v>
      </c>
      <c r="F210" s="10" t="s">
        <v>16</v>
      </c>
      <c r="G210" s="10">
        <v>297</v>
      </c>
      <c r="H210" s="10">
        <v>1092</v>
      </c>
      <c r="I210" s="10" t="s">
        <v>17</v>
      </c>
      <c r="J210" s="10" t="s">
        <v>634</v>
      </c>
      <c r="K210" s="10">
        <v>3176</v>
      </c>
      <c r="L210" s="10">
        <v>1580</v>
      </c>
      <c r="M210" s="10">
        <v>1870</v>
      </c>
      <c r="N210" s="10">
        <v>9.3800000000000008</v>
      </c>
      <c r="O210" s="10">
        <v>255</v>
      </c>
      <c r="P210" s="10">
        <v>1</v>
      </c>
      <c r="Q210" s="10" t="s">
        <v>635</v>
      </c>
      <c r="R210" s="10" t="s">
        <v>636</v>
      </c>
      <c r="S210" s="10">
        <v>7845</v>
      </c>
      <c r="T210" s="10">
        <v>7590</v>
      </c>
      <c r="U210" s="14" t="s">
        <v>1402</v>
      </c>
    </row>
    <row r="211" spans="1:21" ht="15" x14ac:dyDescent="0.35">
      <c r="A211" s="9">
        <v>214</v>
      </c>
      <c r="B211" s="10" t="s">
        <v>637</v>
      </c>
      <c r="C211" s="10" t="s">
        <v>565</v>
      </c>
      <c r="D211" s="10" t="s">
        <v>566</v>
      </c>
      <c r="E211" s="10" t="s">
        <v>563</v>
      </c>
      <c r="F211" s="10" t="s">
        <v>16</v>
      </c>
      <c r="G211" s="10">
        <v>500</v>
      </c>
      <c r="H211" s="10">
        <v>1150</v>
      </c>
      <c r="I211" s="10" t="s">
        <v>17</v>
      </c>
      <c r="J211" s="10" t="s">
        <v>503</v>
      </c>
      <c r="K211" s="10">
        <v>3176</v>
      </c>
      <c r="L211" s="10">
        <v>1480</v>
      </c>
      <c r="M211" s="10">
        <v>1800</v>
      </c>
      <c r="N211" s="10">
        <v>8.4600000000000009</v>
      </c>
      <c r="O211" s="10">
        <v>113</v>
      </c>
      <c r="P211" s="10">
        <v>1</v>
      </c>
      <c r="Q211" s="10" t="s">
        <v>504</v>
      </c>
      <c r="R211" s="10" t="s">
        <v>488</v>
      </c>
      <c r="S211" s="10">
        <v>6095</v>
      </c>
      <c r="T211" s="10">
        <v>6095</v>
      </c>
      <c r="U211" s="14" t="s">
        <v>1402</v>
      </c>
    </row>
    <row r="212" spans="1:21" ht="15" x14ac:dyDescent="0.35">
      <c r="A212" s="9">
        <v>215</v>
      </c>
      <c r="B212" s="10" t="s">
        <v>638</v>
      </c>
      <c r="C212" s="10" t="s">
        <v>565</v>
      </c>
      <c r="D212" s="10" t="s">
        <v>566</v>
      </c>
      <c r="E212" s="10" t="s">
        <v>563</v>
      </c>
      <c r="F212" s="10" t="s">
        <v>16</v>
      </c>
      <c r="G212" s="10">
        <v>500</v>
      </c>
      <c r="H212" s="10">
        <v>1150</v>
      </c>
      <c r="I212" s="10" t="s">
        <v>24</v>
      </c>
      <c r="J212" s="10" t="s">
        <v>639</v>
      </c>
      <c r="K212" s="10">
        <v>3280</v>
      </c>
      <c r="L212" s="10">
        <v>1694</v>
      </c>
      <c r="M212" s="10">
        <v>1732</v>
      </c>
      <c r="N212" s="10">
        <v>9.6199999999999992</v>
      </c>
      <c r="O212" s="10">
        <v>110</v>
      </c>
      <c r="P212" s="10">
        <v>1</v>
      </c>
      <c r="Q212" s="10" t="s">
        <v>640</v>
      </c>
      <c r="R212" s="10" t="s">
        <v>641</v>
      </c>
      <c r="S212" s="10">
        <v>6310</v>
      </c>
      <c r="T212" s="10">
        <v>6200</v>
      </c>
      <c r="U212" s="14" t="s">
        <v>1402</v>
      </c>
    </row>
    <row r="213" spans="1:21" ht="15" x14ac:dyDescent="0.35">
      <c r="A213" s="9">
        <v>216</v>
      </c>
      <c r="B213" s="10" t="s">
        <v>642</v>
      </c>
      <c r="C213" s="10" t="s">
        <v>565</v>
      </c>
      <c r="D213" s="10" t="s">
        <v>566</v>
      </c>
      <c r="E213" s="10" t="s">
        <v>563</v>
      </c>
      <c r="F213" s="10" t="s">
        <v>41</v>
      </c>
      <c r="G213" s="10">
        <v>500</v>
      </c>
      <c r="H213" s="10">
        <v>1150</v>
      </c>
      <c r="I213" s="10" t="s">
        <v>17</v>
      </c>
      <c r="J213" s="10" t="s">
        <v>626</v>
      </c>
      <c r="K213" s="10">
        <v>3176</v>
      </c>
      <c r="L213" s="10">
        <v>1480</v>
      </c>
      <c r="M213" s="10">
        <v>1740</v>
      </c>
      <c r="N213" s="10">
        <v>8.18</v>
      </c>
      <c r="O213" s="10">
        <v>113</v>
      </c>
      <c r="P213" s="10">
        <v>1</v>
      </c>
      <c r="Q213" s="10" t="s">
        <v>504</v>
      </c>
      <c r="R213" s="10" t="s">
        <v>488</v>
      </c>
      <c r="S213" s="10">
        <v>5863</v>
      </c>
      <c r="T213" s="10">
        <v>5750</v>
      </c>
      <c r="U213" s="14" t="s">
        <v>1402</v>
      </c>
    </row>
    <row r="214" spans="1:21" ht="15" x14ac:dyDescent="0.35">
      <c r="A214" s="9">
        <v>217</v>
      </c>
      <c r="B214" s="10" t="s">
        <v>643</v>
      </c>
      <c r="C214" s="10" t="s">
        <v>565</v>
      </c>
      <c r="D214" s="10" t="s">
        <v>566</v>
      </c>
      <c r="E214" s="10" t="s">
        <v>509</v>
      </c>
      <c r="F214" s="10" t="s">
        <v>16</v>
      </c>
      <c r="G214" s="10">
        <v>500</v>
      </c>
      <c r="H214" s="10">
        <v>1150</v>
      </c>
      <c r="I214" s="10" t="s">
        <v>17</v>
      </c>
      <c r="J214" s="10" t="s">
        <v>491</v>
      </c>
      <c r="K214" s="10">
        <v>2976</v>
      </c>
      <c r="L214" s="10">
        <v>1480</v>
      </c>
      <c r="M214" s="10">
        <v>1740</v>
      </c>
      <c r="N214" s="10">
        <v>7.66</v>
      </c>
      <c r="O214" s="10">
        <v>107</v>
      </c>
      <c r="P214" s="10">
        <v>1</v>
      </c>
      <c r="Q214" s="10" t="s">
        <v>492</v>
      </c>
      <c r="R214" s="10" t="s">
        <v>488</v>
      </c>
      <c r="S214" s="10">
        <v>5707</v>
      </c>
      <c r="T214" s="10">
        <v>5600</v>
      </c>
      <c r="U214" s="14" t="s">
        <v>1402</v>
      </c>
    </row>
    <row r="215" spans="1:21" ht="15" x14ac:dyDescent="0.35">
      <c r="A215" s="9">
        <v>218</v>
      </c>
      <c r="B215" s="10" t="s">
        <v>644</v>
      </c>
      <c r="C215" s="10" t="s">
        <v>565</v>
      </c>
      <c r="D215" s="10" t="s">
        <v>566</v>
      </c>
      <c r="E215" s="10" t="s">
        <v>509</v>
      </c>
      <c r="F215" s="10" t="s">
        <v>41</v>
      </c>
      <c r="G215" s="10">
        <v>500</v>
      </c>
      <c r="H215" s="10">
        <v>1150</v>
      </c>
      <c r="I215" s="10" t="s">
        <v>17</v>
      </c>
      <c r="J215" s="10" t="s">
        <v>491</v>
      </c>
      <c r="K215" s="10">
        <v>2976</v>
      </c>
      <c r="L215" s="10">
        <v>1480</v>
      </c>
      <c r="M215" s="10">
        <v>1740</v>
      </c>
      <c r="N215" s="10">
        <v>7.66</v>
      </c>
      <c r="O215" s="10">
        <v>107</v>
      </c>
      <c r="P215" s="10">
        <v>1</v>
      </c>
      <c r="Q215" s="10" t="s">
        <v>492</v>
      </c>
      <c r="R215" s="10" t="s">
        <v>488</v>
      </c>
      <c r="S215" s="10">
        <v>5357</v>
      </c>
      <c r="T215" s="10">
        <v>5250</v>
      </c>
      <c r="U215" s="14" t="s">
        <v>1402</v>
      </c>
    </row>
    <row r="216" spans="1:21" ht="15" x14ac:dyDescent="0.35">
      <c r="A216" s="9">
        <v>219</v>
      </c>
      <c r="B216" s="10" t="s">
        <v>645</v>
      </c>
      <c r="C216" s="10" t="s">
        <v>565</v>
      </c>
      <c r="D216" s="10" t="s">
        <v>566</v>
      </c>
      <c r="E216" s="10" t="s">
        <v>646</v>
      </c>
      <c r="F216" s="10" t="s">
        <v>16</v>
      </c>
      <c r="G216" s="10">
        <v>500</v>
      </c>
      <c r="H216" s="10">
        <v>1150</v>
      </c>
      <c r="I216" s="10" t="s">
        <v>17</v>
      </c>
      <c r="J216" s="10" t="s">
        <v>513</v>
      </c>
      <c r="K216" s="10">
        <v>3276</v>
      </c>
      <c r="L216" s="10">
        <v>1480</v>
      </c>
      <c r="M216" s="10">
        <v>1800</v>
      </c>
      <c r="N216" s="10">
        <v>8.73</v>
      </c>
      <c r="O216" s="10">
        <v>116</v>
      </c>
      <c r="P216" s="10">
        <v>1</v>
      </c>
      <c r="Q216" s="10" t="s">
        <v>514</v>
      </c>
      <c r="R216" s="10" t="s">
        <v>488</v>
      </c>
      <c r="S216" s="10">
        <v>6511</v>
      </c>
      <c r="T216" s="10">
        <v>6395</v>
      </c>
      <c r="U216" s="14" t="s">
        <v>1402</v>
      </c>
    </row>
    <row r="217" spans="1:21" ht="15" x14ac:dyDescent="0.35">
      <c r="A217" s="9">
        <v>220</v>
      </c>
      <c r="B217" s="10" t="s">
        <v>647</v>
      </c>
      <c r="C217" s="10" t="s">
        <v>565</v>
      </c>
      <c r="D217" s="10" t="s">
        <v>566</v>
      </c>
      <c r="E217" s="10" t="s">
        <v>512</v>
      </c>
      <c r="F217" s="10" t="s">
        <v>16</v>
      </c>
      <c r="G217" s="10">
        <v>500</v>
      </c>
      <c r="H217" s="10">
        <v>1150</v>
      </c>
      <c r="I217" s="10" t="s">
        <v>17</v>
      </c>
      <c r="J217" s="10" t="s">
        <v>513</v>
      </c>
      <c r="K217" s="10">
        <v>3276</v>
      </c>
      <c r="L217" s="10">
        <v>1480</v>
      </c>
      <c r="M217" s="10">
        <v>1800</v>
      </c>
      <c r="N217" s="10">
        <v>8.73</v>
      </c>
      <c r="O217" s="10">
        <v>116</v>
      </c>
      <c r="P217" s="10">
        <v>1</v>
      </c>
      <c r="Q217" s="10" t="s">
        <v>514</v>
      </c>
      <c r="R217" s="10" t="s">
        <v>488</v>
      </c>
      <c r="S217" s="10">
        <v>6961</v>
      </c>
      <c r="T217" s="10">
        <v>6845</v>
      </c>
      <c r="U217" s="14" t="s">
        <v>1402</v>
      </c>
    </row>
    <row r="218" spans="1:21" ht="15" x14ac:dyDescent="0.35">
      <c r="A218" s="9">
        <v>221</v>
      </c>
      <c r="B218" s="10" t="s">
        <v>648</v>
      </c>
      <c r="C218" s="10" t="s">
        <v>565</v>
      </c>
      <c r="D218" s="10" t="s">
        <v>566</v>
      </c>
      <c r="E218" s="10" t="s">
        <v>512</v>
      </c>
      <c r="F218" s="10" t="s">
        <v>41</v>
      </c>
      <c r="G218" s="10">
        <v>500</v>
      </c>
      <c r="H218" s="10">
        <v>1150</v>
      </c>
      <c r="I218" s="10" t="s">
        <v>17</v>
      </c>
      <c r="J218" s="10" t="s">
        <v>649</v>
      </c>
      <c r="K218" s="10">
        <v>3176</v>
      </c>
      <c r="L218" s="10">
        <v>1480</v>
      </c>
      <c r="M218" s="10">
        <v>1745</v>
      </c>
      <c r="N218" s="10">
        <v>8.1999999999999993</v>
      </c>
      <c r="O218" s="10">
        <v>113</v>
      </c>
      <c r="P218" s="10">
        <v>1</v>
      </c>
      <c r="Q218" s="10" t="s">
        <v>650</v>
      </c>
      <c r="R218" s="10" t="s">
        <v>475</v>
      </c>
      <c r="S218" s="10">
        <v>6873</v>
      </c>
      <c r="T218" s="10">
        <v>6760</v>
      </c>
      <c r="U218" s="14" t="s">
        <v>1402</v>
      </c>
    </row>
    <row r="219" spans="1:21" ht="15" x14ac:dyDescent="0.35">
      <c r="A219" s="9">
        <v>222</v>
      </c>
      <c r="B219" s="10" t="s">
        <v>651</v>
      </c>
      <c r="C219" s="10" t="s">
        <v>565</v>
      </c>
      <c r="D219" s="10" t="s">
        <v>566</v>
      </c>
      <c r="E219" s="10" t="s">
        <v>516</v>
      </c>
      <c r="F219" s="10" t="s">
        <v>16</v>
      </c>
      <c r="G219" s="10">
        <v>500</v>
      </c>
      <c r="H219" s="10">
        <v>1150</v>
      </c>
      <c r="I219" s="10" t="s">
        <v>17</v>
      </c>
      <c r="J219" s="10" t="s">
        <v>503</v>
      </c>
      <c r="K219" s="10">
        <v>3176</v>
      </c>
      <c r="L219" s="10">
        <v>1480</v>
      </c>
      <c r="M219" s="10">
        <v>1800</v>
      </c>
      <c r="N219" s="10">
        <v>8.4600000000000009</v>
      </c>
      <c r="O219" s="10">
        <v>113</v>
      </c>
      <c r="P219" s="10">
        <v>1</v>
      </c>
      <c r="Q219" s="10" t="s">
        <v>504</v>
      </c>
      <c r="R219" s="10" t="s">
        <v>488</v>
      </c>
      <c r="S219" s="10">
        <v>6513</v>
      </c>
      <c r="T219" s="10">
        <v>6400</v>
      </c>
      <c r="U219" s="14" t="s">
        <v>1402</v>
      </c>
    </row>
    <row r="220" spans="1:21" ht="15" x14ac:dyDescent="0.35">
      <c r="A220" s="9">
        <v>223</v>
      </c>
      <c r="B220" s="10" t="s">
        <v>652</v>
      </c>
      <c r="C220" s="10" t="s">
        <v>565</v>
      </c>
      <c r="D220" s="10" t="s">
        <v>566</v>
      </c>
      <c r="E220" s="10" t="s">
        <v>518</v>
      </c>
      <c r="F220" s="10" t="s">
        <v>16</v>
      </c>
      <c r="G220" s="10">
        <v>500</v>
      </c>
      <c r="H220" s="10">
        <v>1150</v>
      </c>
      <c r="I220" s="10" t="s">
        <v>17</v>
      </c>
      <c r="J220" s="10" t="s">
        <v>513</v>
      </c>
      <c r="K220" s="10">
        <v>3276</v>
      </c>
      <c r="L220" s="10">
        <v>1480</v>
      </c>
      <c r="M220" s="10">
        <v>1800</v>
      </c>
      <c r="N220" s="10">
        <v>8.73</v>
      </c>
      <c r="O220" s="10">
        <v>116</v>
      </c>
      <c r="P220" s="10">
        <v>1</v>
      </c>
      <c r="Q220" s="10" t="s">
        <v>514</v>
      </c>
      <c r="R220" s="10" t="s">
        <v>488</v>
      </c>
      <c r="S220" s="10">
        <v>7206</v>
      </c>
      <c r="T220" s="10">
        <v>7090</v>
      </c>
      <c r="U220" s="14" t="s">
        <v>1402</v>
      </c>
    </row>
    <row r="221" spans="1:21" ht="15" x14ac:dyDescent="0.35">
      <c r="A221" s="9">
        <v>224</v>
      </c>
      <c r="B221" s="10" t="s">
        <v>653</v>
      </c>
      <c r="C221" s="10" t="s">
        <v>565</v>
      </c>
      <c r="D221" s="10" t="s">
        <v>566</v>
      </c>
      <c r="E221" s="10" t="s">
        <v>518</v>
      </c>
      <c r="F221" s="10" t="s">
        <v>41</v>
      </c>
      <c r="G221" s="10">
        <v>500</v>
      </c>
      <c r="H221" s="10">
        <v>1150</v>
      </c>
      <c r="I221" s="10" t="s">
        <v>17</v>
      </c>
      <c r="J221" s="10" t="s">
        <v>513</v>
      </c>
      <c r="K221" s="10">
        <v>3276</v>
      </c>
      <c r="L221" s="10">
        <v>1480</v>
      </c>
      <c r="M221" s="10">
        <v>1800</v>
      </c>
      <c r="N221" s="10">
        <v>8.73</v>
      </c>
      <c r="O221" s="10">
        <v>116</v>
      </c>
      <c r="P221" s="10">
        <v>1</v>
      </c>
      <c r="Q221" s="10" t="s">
        <v>514</v>
      </c>
      <c r="R221" s="10" t="s">
        <v>488</v>
      </c>
      <c r="S221" s="10">
        <v>6966</v>
      </c>
      <c r="T221" s="10">
        <v>6850</v>
      </c>
      <c r="U221" s="14" t="s">
        <v>1402</v>
      </c>
    </row>
    <row r="222" spans="1:21" ht="15" x14ac:dyDescent="0.35">
      <c r="A222" s="9">
        <v>225</v>
      </c>
      <c r="B222" s="10" t="s">
        <v>654</v>
      </c>
      <c r="C222" s="10" t="s">
        <v>565</v>
      </c>
      <c r="D222" s="10" t="s">
        <v>566</v>
      </c>
      <c r="E222" s="10" t="s">
        <v>655</v>
      </c>
      <c r="F222" s="10" t="s">
        <v>16</v>
      </c>
      <c r="G222" s="10">
        <v>500</v>
      </c>
      <c r="H222" s="10">
        <v>1150</v>
      </c>
      <c r="I222" s="10" t="s">
        <v>17</v>
      </c>
      <c r="J222" s="10" t="s">
        <v>513</v>
      </c>
      <c r="K222" s="10">
        <v>3276</v>
      </c>
      <c r="L222" s="10">
        <v>1480</v>
      </c>
      <c r="M222" s="10">
        <v>1800</v>
      </c>
      <c r="N222" s="10">
        <v>8.73</v>
      </c>
      <c r="O222" s="10">
        <v>116</v>
      </c>
      <c r="P222" s="10">
        <v>1</v>
      </c>
      <c r="Q222" s="10" t="s">
        <v>514</v>
      </c>
      <c r="R222" s="10" t="s">
        <v>488</v>
      </c>
      <c r="S222" s="10">
        <v>7216</v>
      </c>
      <c r="T222" s="10">
        <v>7100</v>
      </c>
      <c r="U222" s="14" t="s">
        <v>1402</v>
      </c>
    </row>
    <row r="223" spans="1:21" ht="15" x14ac:dyDescent="0.35">
      <c r="A223" s="9">
        <v>226</v>
      </c>
      <c r="B223" s="10" t="s">
        <v>656</v>
      </c>
      <c r="C223" s="10" t="s">
        <v>657</v>
      </c>
      <c r="D223" s="10" t="s">
        <v>566</v>
      </c>
      <c r="E223" s="10" t="s">
        <v>658</v>
      </c>
      <c r="F223" s="10" t="s">
        <v>16</v>
      </c>
      <c r="G223" s="10">
        <v>296</v>
      </c>
      <c r="H223" s="10">
        <v>1092</v>
      </c>
      <c r="I223" s="10" t="s">
        <v>17</v>
      </c>
      <c r="J223" s="10" t="s">
        <v>601</v>
      </c>
      <c r="K223" s="10">
        <v>2860</v>
      </c>
      <c r="L223" s="10">
        <v>1592</v>
      </c>
      <c r="M223" s="10">
        <v>1688</v>
      </c>
      <c r="N223" s="10">
        <v>7.69</v>
      </c>
      <c r="O223" s="10">
        <v>130</v>
      </c>
      <c r="P223" s="10">
        <v>1</v>
      </c>
      <c r="Q223" s="10" t="s">
        <v>602</v>
      </c>
      <c r="R223" s="10" t="s">
        <v>603</v>
      </c>
      <c r="S223" s="10">
        <v>6380</v>
      </c>
      <c r="T223" s="10">
        <v>6250</v>
      </c>
      <c r="U223" s="14" t="s">
        <v>1402</v>
      </c>
    </row>
    <row r="224" spans="1:21" ht="15" x14ac:dyDescent="0.35">
      <c r="A224" s="9">
        <v>227</v>
      </c>
      <c r="B224" s="10" t="s">
        <v>659</v>
      </c>
      <c r="C224" s="10" t="s">
        <v>657</v>
      </c>
      <c r="D224" s="10" t="s">
        <v>566</v>
      </c>
      <c r="E224" s="10" t="s">
        <v>660</v>
      </c>
      <c r="F224" s="10" t="s">
        <v>16</v>
      </c>
      <c r="G224" s="10">
        <v>296</v>
      </c>
      <c r="H224" s="10">
        <v>1092</v>
      </c>
      <c r="I224" s="10" t="s">
        <v>17</v>
      </c>
      <c r="J224" s="10" t="s">
        <v>623</v>
      </c>
      <c r="K224" s="10">
        <v>3060</v>
      </c>
      <c r="L224" s="10">
        <v>1592</v>
      </c>
      <c r="M224" s="10">
        <v>1688</v>
      </c>
      <c r="N224" s="10">
        <v>8.2200000000000006</v>
      </c>
      <c r="O224" s="10">
        <v>136</v>
      </c>
      <c r="P224" s="10">
        <v>1</v>
      </c>
      <c r="Q224" s="10" t="s">
        <v>624</v>
      </c>
      <c r="R224" s="10" t="s">
        <v>603</v>
      </c>
      <c r="S224" s="10">
        <v>6466</v>
      </c>
      <c r="T224" s="10">
        <v>6330</v>
      </c>
      <c r="U224" s="14" t="s">
        <v>1402</v>
      </c>
    </row>
    <row r="225" spans="1:21" ht="15" x14ac:dyDescent="0.35">
      <c r="A225" s="9">
        <v>228</v>
      </c>
      <c r="B225" s="10" t="s">
        <v>661</v>
      </c>
      <c r="C225" s="10" t="s">
        <v>657</v>
      </c>
      <c r="D225" s="10" t="s">
        <v>566</v>
      </c>
      <c r="E225" s="10" t="s">
        <v>662</v>
      </c>
      <c r="F225" s="10" t="s">
        <v>16</v>
      </c>
      <c r="G225" s="10">
        <v>296</v>
      </c>
      <c r="H225" s="10">
        <v>1092</v>
      </c>
      <c r="I225" s="10" t="s">
        <v>17</v>
      </c>
      <c r="J225" s="10" t="s">
        <v>623</v>
      </c>
      <c r="K225" s="10">
        <v>3060</v>
      </c>
      <c r="L225" s="10">
        <v>1592</v>
      </c>
      <c r="M225" s="10">
        <v>1688</v>
      </c>
      <c r="N225" s="10">
        <v>8.2200000000000006</v>
      </c>
      <c r="O225" s="10">
        <v>136</v>
      </c>
      <c r="P225" s="10">
        <v>1</v>
      </c>
      <c r="Q225" s="10" t="s">
        <v>624</v>
      </c>
      <c r="R225" s="10" t="s">
        <v>603</v>
      </c>
      <c r="S225" s="10">
        <v>6466</v>
      </c>
      <c r="T225" s="10">
        <v>6330</v>
      </c>
      <c r="U225" s="14" t="s">
        <v>1402</v>
      </c>
    </row>
    <row r="226" spans="1:21" ht="15" x14ac:dyDescent="0.35">
      <c r="A226" s="9">
        <v>229</v>
      </c>
      <c r="B226" s="10" t="s">
        <v>663</v>
      </c>
      <c r="C226" s="10" t="s">
        <v>657</v>
      </c>
      <c r="D226" s="10" t="s">
        <v>566</v>
      </c>
      <c r="E226" s="10" t="s">
        <v>664</v>
      </c>
      <c r="F226" s="10" t="s">
        <v>16</v>
      </c>
      <c r="G226" s="10">
        <v>296</v>
      </c>
      <c r="H226" s="10">
        <v>1092</v>
      </c>
      <c r="I226" s="10" t="s">
        <v>17</v>
      </c>
      <c r="J226" s="10" t="s">
        <v>623</v>
      </c>
      <c r="K226" s="10">
        <v>3060</v>
      </c>
      <c r="L226" s="10">
        <v>1592</v>
      </c>
      <c r="M226" s="10">
        <v>1688</v>
      </c>
      <c r="N226" s="10">
        <v>8.2200000000000006</v>
      </c>
      <c r="O226" s="10">
        <v>136</v>
      </c>
      <c r="P226" s="10">
        <v>1</v>
      </c>
      <c r="Q226" s="10" t="s">
        <v>624</v>
      </c>
      <c r="R226" s="10" t="s">
        <v>603</v>
      </c>
      <c r="S226" s="10">
        <v>6091</v>
      </c>
      <c r="T226" s="10">
        <v>5955</v>
      </c>
      <c r="U226" s="14" t="s">
        <v>1402</v>
      </c>
    </row>
    <row r="227" spans="1:21" ht="15" x14ac:dyDescent="0.35">
      <c r="A227" s="9">
        <v>230</v>
      </c>
      <c r="B227" s="10" t="s">
        <v>665</v>
      </c>
      <c r="C227" s="10" t="s">
        <v>0</v>
      </c>
      <c r="D227" s="10" t="s">
        <v>666</v>
      </c>
      <c r="E227" s="10" t="s">
        <v>29</v>
      </c>
      <c r="F227" s="10" t="s">
        <v>16</v>
      </c>
      <c r="G227" s="10">
        <v>500</v>
      </c>
      <c r="H227" s="10">
        <v>1150</v>
      </c>
      <c r="I227" s="10" t="s">
        <v>17</v>
      </c>
      <c r="J227" s="10" t="s">
        <v>667</v>
      </c>
      <c r="K227" s="10">
        <v>2876</v>
      </c>
      <c r="L227" s="10">
        <v>1480</v>
      </c>
      <c r="M227" s="10">
        <v>1832</v>
      </c>
      <c r="N227" s="10">
        <v>7.8</v>
      </c>
      <c r="O227" s="10">
        <v>104</v>
      </c>
      <c r="P227" s="10">
        <v>1</v>
      </c>
      <c r="Q227" s="10" t="s">
        <v>668</v>
      </c>
      <c r="R227" s="10" t="s">
        <v>475</v>
      </c>
      <c r="S227" s="10">
        <v>7604</v>
      </c>
      <c r="T227" s="10">
        <v>7500</v>
      </c>
      <c r="U227" s="14" t="s">
        <v>1402</v>
      </c>
    </row>
    <row r="228" spans="1:21" ht="15" x14ac:dyDescent="0.35">
      <c r="A228" s="9">
        <v>231</v>
      </c>
      <c r="B228" s="10" t="s">
        <v>669</v>
      </c>
      <c r="C228" s="10" t="s">
        <v>0</v>
      </c>
      <c r="D228" s="10" t="s">
        <v>666</v>
      </c>
      <c r="E228" s="10" t="s">
        <v>527</v>
      </c>
      <c r="F228" s="10" t="s">
        <v>16</v>
      </c>
      <c r="G228" s="10">
        <v>500</v>
      </c>
      <c r="H228" s="10">
        <v>1150</v>
      </c>
      <c r="I228" s="10" t="s">
        <v>17</v>
      </c>
      <c r="J228" s="10" t="s">
        <v>670</v>
      </c>
      <c r="K228" s="10">
        <v>2776</v>
      </c>
      <c r="L228" s="10">
        <v>1480</v>
      </c>
      <c r="M228" s="10">
        <v>1832</v>
      </c>
      <c r="N228" s="10">
        <v>7.53</v>
      </c>
      <c r="O228" s="10">
        <v>101</v>
      </c>
      <c r="P228" s="10">
        <v>1</v>
      </c>
      <c r="Q228" s="10" t="s">
        <v>529</v>
      </c>
      <c r="R228" s="10" t="s">
        <v>475</v>
      </c>
      <c r="S228" s="10">
        <v>7751</v>
      </c>
      <c r="T228" s="10">
        <v>7650</v>
      </c>
      <c r="U228" s="14" t="s">
        <v>1402</v>
      </c>
    </row>
    <row r="229" spans="1:21" ht="15" x14ac:dyDescent="0.35">
      <c r="A229" s="9">
        <v>232</v>
      </c>
      <c r="B229" s="10" t="s">
        <v>671</v>
      </c>
      <c r="C229" s="10" t="s">
        <v>0</v>
      </c>
      <c r="D229" s="10" t="s">
        <v>666</v>
      </c>
      <c r="E229" s="10" t="s">
        <v>527</v>
      </c>
      <c r="F229" s="10" t="s">
        <v>41</v>
      </c>
      <c r="G229" s="10">
        <v>500</v>
      </c>
      <c r="H229" s="10">
        <v>1150</v>
      </c>
      <c r="I229" s="10" t="s">
        <v>17</v>
      </c>
      <c r="J229" s="10" t="s">
        <v>670</v>
      </c>
      <c r="K229" s="10">
        <v>2776</v>
      </c>
      <c r="L229" s="10">
        <v>1480</v>
      </c>
      <c r="M229" s="10">
        <v>1832</v>
      </c>
      <c r="N229" s="10">
        <v>7.53</v>
      </c>
      <c r="O229" s="10">
        <v>101</v>
      </c>
      <c r="P229" s="10">
        <v>1</v>
      </c>
      <c r="Q229" s="10" t="s">
        <v>529</v>
      </c>
      <c r="R229" s="10" t="s">
        <v>475</v>
      </c>
      <c r="S229" s="10">
        <v>7121</v>
      </c>
      <c r="T229" s="10">
        <v>7020</v>
      </c>
      <c r="U229" s="14" t="s">
        <v>1402</v>
      </c>
    </row>
    <row r="230" spans="1:21" ht="15" x14ac:dyDescent="0.35">
      <c r="A230" s="9">
        <v>233</v>
      </c>
      <c r="B230" s="10" t="s">
        <v>672</v>
      </c>
      <c r="C230" s="10" t="s">
        <v>0</v>
      </c>
      <c r="D230" s="10" t="s">
        <v>666</v>
      </c>
      <c r="E230" s="10" t="s">
        <v>454</v>
      </c>
      <c r="F230" s="10" t="s">
        <v>16</v>
      </c>
      <c r="G230" s="10">
        <v>610</v>
      </c>
      <c r="H230" s="10">
        <v>1310</v>
      </c>
      <c r="I230" s="10" t="s">
        <v>24</v>
      </c>
      <c r="J230" s="10" t="s">
        <v>673</v>
      </c>
      <c r="K230" s="10">
        <v>3310</v>
      </c>
      <c r="L230" s="10">
        <v>2234</v>
      </c>
      <c r="M230" s="10">
        <v>2273</v>
      </c>
      <c r="N230" s="10">
        <v>16.809999999999999</v>
      </c>
      <c r="O230" s="10">
        <v>190</v>
      </c>
      <c r="P230" s="10">
        <v>1</v>
      </c>
      <c r="Q230" s="10" t="s">
        <v>674</v>
      </c>
      <c r="R230" s="10" t="s">
        <v>675</v>
      </c>
      <c r="S230" s="10">
        <v>8990</v>
      </c>
      <c r="T230" s="10">
        <v>8800</v>
      </c>
      <c r="U230" s="14" t="s">
        <v>1402</v>
      </c>
    </row>
    <row r="231" spans="1:21" ht="15" x14ac:dyDescent="0.35">
      <c r="A231" s="9">
        <v>234</v>
      </c>
      <c r="B231" s="10" t="s">
        <v>676</v>
      </c>
      <c r="C231" s="10" t="s">
        <v>0</v>
      </c>
      <c r="D231" s="10" t="s">
        <v>666</v>
      </c>
      <c r="E231" s="10" t="s">
        <v>677</v>
      </c>
      <c r="F231" s="10" t="s">
        <v>41</v>
      </c>
      <c r="G231" s="10">
        <v>500</v>
      </c>
      <c r="H231" s="10">
        <v>1150</v>
      </c>
      <c r="I231" s="10" t="s">
        <v>17</v>
      </c>
      <c r="J231" s="10" t="s">
        <v>670</v>
      </c>
      <c r="K231" s="10">
        <v>2776</v>
      </c>
      <c r="L231" s="10">
        <v>1480</v>
      </c>
      <c r="M231" s="10">
        <v>1832</v>
      </c>
      <c r="N231" s="10">
        <v>7.53</v>
      </c>
      <c r="O231" s="10">
        <v>101</v>
      </c>
      <c r="P231" s="10">
        <v>1</v>
      </c>
      <c r="Q231" s="10" t="s">
        <v>529</v>
      </c>
      <c r="R231" s="10" t="s">
        <v>475</v>
      </c>
      <c r="S231" s="10">
        <v>7771</v>
      </c>
      <c r="T231" s="10">
        <v>7670</v>
      </c>
      <c r="U231" s="14" t="s">
        <v>1402</v>
      </c>
    </row>
    <row r="232" spans="1:21" ht="15" x14ac:dyDescent="0.35">
      <c r="A232" s="9">
        <v>235</v>
      </c>
      <c r="B232" s="10" t="s">
        <v>678</v>
      </c>
      <c r="C232" s="10" t="s">
        <v>0</v>
      </c>
      <c r="D232" s="10" t="s">
        <v>666</v>
      </c>
      <c r="E232" s="10" t="s">
        <v>679</v>
      </c>
      <c r="F232" s="10" t="s">
        <v>16</v>
      </c>
      <c r="G232" s="10">
        <v>650</v>
      </c>
      <c r="H232" s="10">
        <v>1150</v>
      </c>
      <c r="I232" s="10" t="s">
        <v>17</v>
      </c>
      <c r="J232" s="10" t="s">
        <v>680</v>
      </c>
      <c r="K232" s="10">
        <v>3030</v>
      </c>
      <c r="L232" s="10">
        <v>1600</v>
      </c>
      <c r="M232" s="10">
        <v>2100</v>
      </c>
      <c r="N232" s="10">
        <v>10.18</v>
      </c>
      <c r="O232" s="10">
        <v>151</v>
      </c>
      <c r="P232" s="10">
        <v>1</v>
      </c>
      <c r="Q232" s="10" t="s">
        <v>681</v>
      </c>
      <c r="R232" s="10" t="s">
        <v>682</v>
      </c>
      <c r="S232" s="10">
        <v>10151</v>
      </c>
      <c r="T232" s="10">
        <v>10000</v>
      </c>
      <c r="U232" s="14" t="s">
        <v>1402</v>
      </c>
    </row>
    <row r="233" spans="1:21" ht="15" x14ac:dyDescent="0.35">
      <c r="A233" s="9">
        <v>236</v>
      </c>
      <c r="B233" s="10" t="s">
        <v>683</v>
      </c>
      <c r="C233" s="10" t="s">
        <v>0</v>
      </c>
      <c r="D233" s="10" t="s">
        <v>666</v>
      </c>
      <c r="E233" s="10" t="s">
        <v>472</v>
      </c>
      <c r="F233" s="10" t="s">
        <v>41</v>
      </c>
      <c r="G233" s="10">
        <v>500</v>
      </c>
      <c r="H233" s="10">
        <v>1150</v>
      </c>
      <c r="I233" s="10" t="s">
        <v>17</v>
      </c>
      <c r="J233" s="10" t="s">
        <v>684</v>
      </c>
      <c r="K233" s="10">
        <v>2976</v>
      </c>
      <c r="L233" s="10">
        <v>1480</v>
      </c>
      <c r="M233" s="10">
        <v>1817</v>
      </c>
      <c r="N233" s="10">
        <v>8</v>
      </c>
      <c r="O233" s="10">
        <v>115</v>
      </c>
      <c r="P233" s="10">
        <v>1</v>
      </c>
      <c r="Q233" s="10" t="s">
        <v>685</v>
      </c>
      <c r="R233" s="10" t="s">
        <v>686</v>
      </c>
      <c r="S233" s="10">
        <v>7465</v>
      </c>
      <c r="T233" s="10">
        <v>7350</v>
      </c>
      <c r="U233" s="14" t="s">
        <v>1402</v>
      </c>
    </row>
    <row r="234" spans="1:21" ht="15" x14ac:dyDescent="0.35">
      <c r="A234" s="9">
        <v>237</v>
      </c>
      <c r="B234" s="10" t="s">
        <v>687</v>
      </c>
      <c r="C234" s="10" t="s">
        <v>0</v>
      </c>
      <c r="D234" s="10" t="s">
        <v>666</v>
      </c>
      <c r="E234" s="10" t="s">
        <v>481</v>
      </c>
      <c r="F234" s="10" t="s">
        <v>16</v>
      </c>
      <c r="G234" s="10">
        <v>500</v>
      </c>
      <c r="H234" s="10">
        <v>1150</v>
      </c>
      <c r="I234" s="10" t="s">
        <v>688</v>
      </c>
      <c r="J234" s="10" t="s">
        <v>689</v>
      </c>
      <c r="K234" s="10">
        <v>2576</v>
      </c>
      <c r="L234" s="10">
        <v>1700</v>
      </c>
      <c r="M234" s="10">
        <v>1840</v>
      </c>
      <c r="N234" s="10">
        <v>8.06</v>
      </c>
      <c r="O234" s="10">
        <v>150</v>
      </c>
      <c r="P234" s="10">
        <v>1</v>
      </c>
      <c r="Q234" s="10" t="s">
        <v>690</v>
      </c>
      <c r="R234" s="10" t="s">
        <v>691</v>
      </c>
      <c r="S234" s="10">
        <v>7103</v>
      </c>
      <c r="T234" s="10">
        <v>6953</v>
      </c>
      <c r="U234" s="14" t="s">
        <v>1402</v>
      </c>
    </row>
    <row r="235" spans="1:21" ht="15" x14ac:dyDescent="0.35">
      <c r="A235" s="9">
        <v>238</v>
      </c>
      <c r="B235" s="10" t="s">
        <v>692</v>
      </c>
      <c r="C235" s="10" t="s">
        <v>0</v>
      </c>
      <c r="D235" s="10" t="s">
        <v>666</v>
      </c>
      <c r="E235" s="10" t="s">
        <v>540</v>
      </c>
      <c r="F235" s="10" t="s">
        <v>16</v>
      </c>
      <c r="G235" s="10">
        <v>500</v>
      </c>
      <c r="H235" s="10">
        <v>1150</v>
      </c>
      <c r="I235" s="10" t="s">
        <v>17</v>
      </c>
      <c r="J235" s="10" t="s">
        <v>693</v>
      </c>
      <c r="K235" s="10">
        <v>2976</v>
      </c>
      <c r="L235" s="10">
        <v>1480</v>
      </c>
      <c r="M235" s="10">
        <v>1832</v>
      </c>
      <c r="N235" s="10">
        <v>8.07</v>
      </c>
      <c r="O235" s="10">
        <v>243</v>
      </c>
      <c r="P235" s="10">
        <v>1</v>
      </c>
      <c r="Q235" s="10" t="s">
        <v>694</v>
      </c>
      <c r="R235" s="10" t="s">
        <v>449</v>
      </c>
      <c r="S235" s="10">
        <v>8865</v>
      </c>
      <c r="T235" s="10">
        <v>8622</v>
      </c>
      <c r="U235" s="14" t="s">
        <v>1402</v>
      </c>
    </row>
    <row r="236" spans="1:21" ht="15" x14ac:dyDescent="0.35">
      <c r="A236" s="9">
        <v>239</v>
      </c>
      <c r="B236" s="10" t="s">
        <v>695</v>
      </c>
      <c r="C236" s="10" t="s">
        <v>0</v>
      </c>
      <c r="D236" s="10" t="s">
        <v>666</v>
      </c>
      <c r="E236" s="10" t="s">
        <v>696</v>
      </c>
      <c r="F236" s="10" t="s">
        <v>16</v>
      </c>
      <c r="G236" s="10">
        <v>600</v>
      </c>
      <c r="H236" s="10">
        <v>1150</v>
      </c>
      <c r="I236" s="10" t="s">
        <v>39</v>
      </c>
      <c r="J236" s="10" t="s">
        <v>697</v>
      </c>
      <c r="K236" s="10">
        <v>1934</v>
      </c>
      <c r="L236" s="10">
        <v>3315</v>
      </c>
      <c r="M236" s="10">
        <v>2415</v>
      </c>
      <c r="N236" s="10">
        <v>1.6</v>
      </c>
      <c r="O236" s="10">
        <v>170</v>
      </c>
      <c r="P236" s="10">
        <v>1</v>
      </c>
      <c r="Q236" s="10" t="s">
        <v>698</v>
      </c>
      <c r="R236" s="10" t="s">
        <v>699</v>
      </c>
      <c r="S236" s="10">
        <v>10670</v>
      </c>
      <c r="T236" s="10">
        <v>10500</v>
      </c>
      <c r="U236" s="14" t="s">
        <v>1402</v>
      </c>
    </row>
    <row r="237" spans="1:21" ht="15" x14ac:dyDescent="0.35">
      <c r="A237" s="9">
        <v>240</v>
      </c>
      <c r="B237" s="10" t="s">
        <v>700</v>
      </c>
      <c r="C237" s="10" t="s">
        <v>0</v>
      </c>
      <c r="D237" s="10" t="s">
        <v>666</v>
      </c>
      <c r="E237" s="10" t="s">
        <v>701</v>
      </c>
      <c r="F237" s="10" t="s">
        <v>16</v>
      </c>
      <c r="G237" s="10">
        <v>650</v>
      </c>
      <c r="H237" s="10">
        <v>1150</v>
      </c>
      <c r="I237" s="10" t="s">
        <v>17</v>
      </c>
      <c r="J237" s="10" t="s">
        <v>702</v>
      </c>
      <c r="K237" s="10">
        <v>2930</v>
      </c>
      <c r="L237" s="10">
        <v>1600</v>
      </c>
      <c r="M237" s="10">
        <v>2100</v>
      </c>
      <c r="N237" s="10">
        <v>9.84</v>
      </c>
      <c r="O237" s="10">
        <v>150</v>
      </c>
      <c r="P237" s="10">
        <v>1</v>
      </c>
      <c r="Q237" s="10" t="s">
        <v>703</v>
      </c>
      <c r="R237" s="10" t="s">
        <v>704</v>
      </c>
      <c r="S237" s="10">
        <v>8800</v>
      </c>
      <c r="T237" s="10">
        <v>8650</v>
      </c>
      <c r="U237" s="14" t="s">
        <v>1402</v>
      </c>
    </row>
    <row r="238" spans="1:21" ht="15" x14ac:dyDescent="0.35">
      <c r="A238" s="9">
        <v>241</v>
      </c>
      <c r="B238" s="10" t="s">
        <v>705</v>
      </c>
      <c r="C238" s="10" t="s">
        <v>0</v>
      </c>
      <c r="D238" s="10" t="s">
        <v>666</v>
      </c>
      <c r="E238" s="10" t="s">
        <v>706</v>
      </c>
      <c r="F238" s="10" t="s">
        <v>16</v>
      </c>
      <c r="G238" s="10">
        <v>500</v>
      </c>
      <c r="H238" s="10">
        <v>1150</v>
      </c>
      <c r="I238" s="10" t="s">
        <v>24</v>
      </c>
      <c r="J238" s="10" t="s">
        <v>707</v>
      </c>
      <c r="K238" s="10">
        <v>2940</v>
      </c>
      <c r="L238" s="10">
        <v>2224</v>
      </c>
      <c r="M238" s="10">
        <v>2062</v>
      </c>
      <c r="N238" s="10">
        <v>13.48</v>
      </c>
      <c r="O238" s="10">
        <v>165</v>
      </c>
      <c r="P238" s="10">
        <v>1</v>
      </c>
      <c r="Q238" s="10" t="s">
        <v>708</v>
      </c>
      <c r="R238" s="10" t="s">
        <v>709</v>
      </c>
      <c r="S238" s="10">
        <v>9915</v>
      </c>
      <c r="T238" s="10">
        <v>9750</v>
      </c>
      <c r="U238" s="14" t="s">
        <v>1402</v>
      </c>
    </row>
    <row r="239" spans="1:21" ht="15" x14ac:dyDescent="0.35">
      <c r="A239" s="9">
        <v>242</v>
      </c>
      <c r="B239" s="10" t="s">
        <v>710</v>
      </c>
      <c r="C239" s="10" t="s">
        <v>0</v>
      </c>
      <c r="D239" s="10" t="s">
        <v>666</v>
      </c>
      <c r="E239" s="10" t="s">
        <v>554</v>
      </c>
      <c r="F239" s="10" t="s">
        <v>16</v>
      </c>
      <c r="G239" s="10">
        <v>500</v>
      </c>
      <c r="H239" s="10">
        <v>1150</v>
      </c>
      <c r="I239" s="10" t="s">
        <v>17</v>
      </c>
      <c r="J239" s="10" t="s">
        <v>711</v>
      </c>
      <c r="K239" s="10">
        <v>3076</v>
      </c>
      <c r="L239" s="10">
        <v>1480</v>
      </c>
      <c r="M239" s="10">
        <v>1832</v>
      </c>
      <c r="N239" s="10">
        <v>8.34</v>
      </c>
      <c r="O239" s="10">
        <v>110</v>
      </c>
      <c r="P239" s="10">
        <v>1</v>
      </c>
      <c r="Q239" s="10" t="s">
        <v>712</v>
      </c>
      <c r="R239" s="10" t="s">
        <v>475</v>
      </c>
      <c r="S239" s="10">
        <v>8010</v>
      </c>
      <c r="T239" s="10">
        <v>7900</v>
      </c>
      <c r="U239" s="14" t="s">
        <v>1402</v>
      </c>
    </row>
    <row r="240" spans="1:21" ht="15" x14ac:dyDescent="0.35">
      <c r="A240" s="9">
        <v>243</v>
      </c>
      <c r="B240" s="10" t="s">
        <v>713</v>
      </c>
      <c r="C240" s="10" t="s">
        <v>0</v>
      </c>
      <c r="D240" s="10" t="s">
        <v>666</v>
      </c>
      <c r="E240" s="10" t="s">
        <v>236</v>
      </c>
      <c r="F240" s="10" t="s">
        <v>16</v>
      </c>
      <c r="G240" s="10">
        <v>420</v>
      </c>
      <c r="H240" s="10">
        <v>1150</v>
      </c>
      <c r="I240" s="10" t="s">
        <v>17</v>
      </c>
      <c r="J240" s="10" t="s">
        <v>714</v>
      </c>
      <c r="K240" s="10">
        <v>2976</v>
      </c>
      <c r="L240" s="10">
        <v>1500</v>
      </c>
      <c r="M240" s="10">
        <v>1860</v>
      </c>
      <c r="N240" s="10">
        <v>8.3000000000000007</v>
      </c>
      <c r="O240" s="10">
        <v>198</v>
      </c>
      <c r="P240" s="10">
        <v>1</v>
      </c>
      <c r="Q240" s="10" t="s">
        <v>715</v>
      </c>
      <c r="R240" s="10" t="s">
        <v>716</v>
      </c>
      <c r="S240" s="10">
        <v>8298</v>
      </c>
      <c r="T240" s="10">
        <v>8100</v>
      </c>
      <c r="U240" s="14" t="s">
        <v>1402</v>
      </c>
    </row>
    <row r="241" spans="1:21" ht="15" x14ac:dyDescent="0.35">
      <c r="A241" s="9">
        <v>244</v>
      </c>
      <c r="B241" s="10" t="s">
        <v>717</v>
      </c>
      <c r="C241" s="10" t="s">
        <v>0</v>
      </c>
      <c r="D241" s="10" t="s">
        <v>666</v>
      </c>
      <c r="E241" s="10" t="s">
        <v>236</v>
      </c>
      <c r="F241" s="10" t="s">
        <v>16</v>
      </c>
      <c r="G241" s="10">
        <v>500</v>
      </c>
      <c r="H241" s="10">
        <v>1150</v>
      </c>
      <c r="I241" s="10" t="s">
        <v>17</v>
      </c>
      <c r="J241" s="10" t="s">
        <v>718</v>
      </c>
      <c r="K241" s="10">
        <v>2837</v>
      </c>
      <c r="L241" s="10">
        <v>1500</v>
      </c>
      <c r="M241" s="10">
        <v>1840</v>
      </c>
      <c r="N241" s="10">
        <v>7.83</v>
      </c>
      <c r="O241" s="10">
        <v>145</v>
      </c>
      <c r="P241" s="10">
        <v>1</v>
      </c>
      <c r="Q241" s="10" t="s">
        <v>719</v>
      </c>
      <c r="R241" s="10" t="s">
        <v>720</v>
      </c>
      <c r="S241" s="10">
        <v>8645</v>
      </c>
      <c r="T241" s="10">
        <v>8500</v>
      </c>
      <c r="U241" s="14" t="s">
        <v>1402</v>
      </c>
    </row>
    <row r="242" spans="1:21" ht="15" x14ac:dyDescent="0.35">
      <c r="A242" s="9">
        <v>245</v>
      </c>
      <c r="B242" s="10" t="s">
        <v>721</v>
      </c>
      <c r="C242" s="10" t="s">
        <v>0</v>
      </c>
      <c r="D242" s="10" t="s">
        <v>666</v>
      </c>
      <c r="E242" s="10" t="s">
        <v>266</v>
      </c>
      <c r="F242" s="10" t="s">
        <v>16</v>
      </c>
      <c r="G242" s="10">
        <v>500</v>
      </c>
      <c r="H242" s="10">
        <v>1150</v>
      </c>
      <c r="I242" s="10" t="s">
        <v>17</v>
      </c>
      <c r="J242" s="10" t="s">
        <v>711</v>
      </c>
      <c r="K242" s="10">
        <v>3076</v>
      </c>
      <c r="L242" s="10">
        <v>1480</v>
      </c>
      <c r="M242" s="10">
        <v>1832</v>
      </c>
      <c r="N242" s="10">
        <v>8.34</v>
      </c>
      <c r="O242" s="10">
        <v>110</v>
      </c>
      <c r="P242" s="10">
        <v>1</v>
      </c>
      <c r="Q242" s="10" t="s">
        <v>712</v>
      </c>
      <c r="R242" s="10" t="s">
        <v>475</v>
      </c>
      <c r="S242" s="10">
        <v>8310</v>
      </c>
      <c r="T242" s="10">
        <v>8200</v>
      </c>
      <c r="U242" s="14" t="s">
        <v>1402</v>
      </c>
    </row>
    <row r="243" spans="1:21" ht="15" x14ac:dyDescent="0.35">
      <c r="A243" s="9">
        <v>247</v>
      </c>
      <c r="B243" s="10" t="s">
        <v>722</v>
      </c>
      <c r="C243" s="10" t="s">
        <v>0</v>
      </c>
      <c r="D243" s="10" t="s">
        <v>666</v>
      </c>
      <c r="E243" s="10" t="s">
        <v>723</v>
      </c>
      <c r="F243" s="10" t="s">
        <v>16</v>
      </c>
      <c r="G243" s="10">
        <v>500</v>
      </c>
      <c r="H243" s="10">
        <v>1200</v>
      </c>
      <c r="I243" s="10" t="s">
        <v>17</v>
      </c>
      <c r="J243" s="10" t="s">
        <v>724</v>
      </c>
      <c r="K243" s="10">
        <v>2576</v>
      </c>
      <c r="L243" s="10">
        <v>1580</v>
      </c>
      <c r="M243" s="10">
        <v>1700</v>
      </c>
      <c r="N243" s="10">
        <v>6.92</v>
      </c>
      <c r="O243" s="10">
        <v>64</v>
      </c>
      <c r="P243" s="10">
        <v>1</v>
      </c>
      <c r="Q243" s="10" t="s">
        <v>725</v>
      </c>
      <c r="R243" s="10" t="s">
        <v>726</v>
      </c>
      <c r="S243" s="10">
        <v>5619</v>
      </c>
      <c r="T243" s="10">
        <v>5555</v>
      </c>
      <c r="U243" s="14" t="s">
        <v>1402</v>
      </c>
    </row>
    <row r="244" spans="1:21" ht="15" x14ac:dyDescent="0.35">
      <c r="A244" s="9">
        <v>248</v>
      </c>
      <c r="B244" s="10" t="s">
        <v>727</v>
      </c>
      <c r="C244" s="10" t="s">
        <v>0</v>
      </c>
      <c r="D244" s="10" t="s">
        <v>666</v>
      </c>
      <c r="E244" s="10" t="s">
        <v>728</v>
      </c>
      <c r="F244" s="10" t="s">
        <v>16</v>
      </c>
      <c r="G244" s="10">
        <v>500</v>
      </c>
      <c r="H244" s="10">
        <v>1150</v>
      </c>
      <c r="I244" s="10" t="s">
        <v>34</v>
      </c>
      <c r="J244" s="10" t="s">
        <v>729</v>
      </c>
      <c r="K244" s="10">
        <v>3140</v>
      </c>
      <c r="L244" s="10">
        <v>2214</v>
      </c>
      <c r="M244" s="10">
        <v>2120</v>
      </c>
      <c r="N244" s="10">
        <v>14.74</v>
      </c>
      <c r="O244" s="10">
        <v>182</v>
      </c>
      <c r="P244" s="10">
        <v>1</v>
      </c>
      <c r="Q244" s="10" t="s">
        <v>730</v>
      </c>
      <c r="R244" s="10" t="s">
        <v>731</v>
      </c>
      <c r="S244" s="10">
        <v>7682</v>
      </c>
      <c r="T244" s="10">
        <v>7500</v>
      </c>
      <c r="U244" s="14" t="s">
        <v>1402</v>
      </c>
    </row>
    <row r="245" spans="1:21" ht="15" x14ac:dyDescent="0.35">
      <c r="A245" s="9">
        <v>249</v>
      </c>
      <c r="B245" s="10" t="s">
        <v>732</v>
      </c>
      <c r="C245" s="10" t="s">
        <v>0</v>
      </c>
      <c r="D245" s="10" t="s">
        <v>666</v>
      </c>
      <c r="E245" s="10" t="s">
        <v>630</v>
      </c>
      <c r="F245" s="10" t="s">
        <v>16</v>
      </c>
      <c r="G245" s="10">
        <v>500</v>
      </c>
      <c r="H245" s="10">
        <v>1150</v>
      </c>
      <c r="I245" s="10" t="s">
        <v>17</v>
      </c>
      <c r="J245" s="10" t="s">
        <v>503</v>
      </c>
      <c r="K245" s="10">
        <v>3176</v>
      </c>
      <c r="L245" s="10">
        <v>1480</v>
      </c>
      <c r="M245" s="10">
        <v>1800</v>
      </c>
      <c r="N245" s="10">
        <v>8.4600000000000009</v>
      </c>
      <c r="O245" s="10">
        <v>113</v>
      </c>
      <c r="P245" s="10">
        <v>1</v>
      </c>
      <c r="Q245" s="10" t="s">
        <v>504</v>
      </c>
      <c r="R245" s="10" t="s">
        <v>488</v>
      </c>
      <c r="S245" s="10">
        <v>8813</v>
      </c>
      <c r="T245" s="10">
        <v>8700</v>
      </c>
      <c r="U245" s="14" t="s">
        <v>1402</v>
      </c>
    </row>
    <row r="246" spans="1:21" ht="15" x14ac:dyDescent="0.35">
      <c r="A246" s="9">
        <v>250</v>
      </c>
      <c r="B246" s="10" t="s">
        <v>733</v>
      </c>
      <c r="C246" s="10" t="s">
        <v>0</v>
      </c>
      <c r="D246" s="10" t="s">
        <v>666</v>
      </c>
      <c r="E246" s="10" t="s">
        <v>734</v>
      </c>
      <c r="F246" s="10" t="s">
        <v>16</v>
      </c>
      <c r="G246" s="10">
        <v>500</v>
      </c>
      <c r="H246" s="10">
        <v>1150</v>
      </c>
      <c r="I246" s="10" t="s">
        <v>17</v>
      </c>
      <c r="J246" s="10" t="s">
        <v>735</v>
      </c>
      <c r="K246" s="10">
        <v>3176</v>
      </c>
      <c r="L246" s="10">
        <v>1480</v>
      </c>
      <c r="M246" s="10">
        <v>1832</v>
      </c>
      <c r="N246" s="10">
        <v>8.61</v>
      </c>
      <c r="O246" s="10">
        <v>113</v>
      </c>
      <c r="P246" s="10">
        <v>1</v>
      </c>
      <c r="Q246" s="10" t="s">
        <v>650</v>
      </c>
      <c r="R246" s="10" t="s">
        <v>475</v>
      </c>
      <c r="S246" s="10">
        <v>8198</v>
      </c>
      <c r="T246" s="10">
        <v>8085</v>
      </c>
      <c r="U246" s="14" t="s">
        <v>1402</v>
      </c>
    </row>
    <row r="247" spans="1:21" ht="15" x14ac:dyDescent="0.35">
      <c r="A247" s="9">
        <v>252</v>
      </c>
      <c r="B247" s="10" t="s">
        <v>736</v>
      </c>
      <c r="C247" s="10" t="s">
        <v>0</v>
      </c>
      <c r="D247" s="10" t="s">
        <v>666</v>
      </c>
      <c r="E247" s="10" t="s">
        <v>734</v>
      </c>
      <c r="F247" s="10" t="s">
        <v>41</v>
      </c>
      <c r="G247" s="10">
        <v>500</v>
      </c>
      <c r="H247" s="10">
        <v>1150</v>
      </c>
      <c r="I247" s="10" t="s">
        <v>17</v>
      </c>
      <c r="J247" s="10" t="s">
        <v>737</v>
      </c>
      <c r="K247" s="10">
        <v>3176</v>
      </c>
      <c r="L247" s="10">
        <v>1480</v>
      </c>
      <c r="M247" s="10">
        <v>1833</v>
      </c>
      <c r="N247" s="10">
        <v>8.6199999999999992</v>
      </c>
      <c r="O247" s="10">
        <v>113</v>
      </c>
      <c r="P247" s="10">
        <v>1</v>
      </c>
      <c r="Q247" s="10" t="s">
        <v>504</v>
      </c>
      <c r="R247" s="10" t="s">
        <v>488</v>
      </c>
      <c r="S247" s="10">
        <v>8113</v>
      </c>
      <c r="T247" s="10">
        <v>8000</v>
      </c>
      <c r="U247" s="14" t="s">
        <v>1402</v>
      </c>
    </row>
    <row r="248" spans="1:21" ht="15" x14ac:dyDescent="0.35">
      <c r="A248" s="9">
        <v>253</v>
      </c>
      <c r="B248" s="10" t="s">
        <v>738</v>
      </c>
      <c r="C248" s="10" t="s">
        <v>0</v>
      </c>
      <c r="D248" s="10" t="s">
        <v>666</v>
      </c>
      <c r="E248" s="10" t="s">
        <v>739</v>
      </c>
      <c r="F248" s="10" t="s">
        <v>16</v>
      </c>
      <c r="G248" s="10">
        <v>500</v>
      </c>
      <c r="H248" s="10">
        <v>1150</v>
      </c>
      <c r="I248" s="10" t="s">
        <v>17</v>
      </c>
      <c r="J248" s="10" t="s">
        <v>735</v>
      </c>
      <c r="K248" s="10">
        <v>3176</v>
      </c>
      <c r="L248" s="10">
        <v>1480</v>
      </c>
      <c r="M248" s="10">
        <v>1832</v>
      </c>
      <c r="N248" s="10">
        <v>8.61</v>
      </c>
      <c r="O248" s="10">
        <v>113</v>
      </c>
      <c r="P248" s="10">
        <v>1</v>
      </c>
      <c r="Q248" s="10" t="s">
        <v>650</v>
      </c>
      <c r="R248" s="10" t="s">
        <v>475</v>
      </c>
      <c r="S248" s="10">
        <v>8408</v>
      </c>
      <c r="T248" s="10">
        <v>8295</v>
      </c>
      <c r="U248" s="14" t="s">
        <v>1402</v>
      </c>
    </row>
    <row r="249" spans="1:21" ht="15" x14ac:dyDescent="0.35">
      <c r="A249" s="9">
        <v>255</v>
      </c>
      <c r="B249" s="10" t="s">
        <v>740</v>
      </c>
      <c r="C249" s="10" t="s">
        <v>0</v>
      </c>
      <c r="D249" s="10" t="s">
        <v>666</v>
      </c>
      <c r="E249" s="10" t="s">
        <v>739</v>
      </c>
      <c r="F249" s="10" t="s">
        <v>41</v>
      </c>
      <c r="G249" s="10">
        <v>500</v>
      </c>
      <c r="H249" s="10">
        <v>1150</v>
      </c>
      <c r="I249" s="10" t="s">
        <v>17</v>
      </c>
      <c r="J249" s="10" t="s">
        <v>737</v>
      </c>
      <c r="K249" s="10">
        <v>3176</v>
      </c>
      <c r="L249" s="10">
        <v>1480</v>
      </c>
      <c r="M249" s="10">
        <v>1833</v>
      </c>
      <c r="N249" s="10">
        <v>8.6199999999999992</v>
      </c>
      <c r="O249" s="10">
        <v>113</v>
      </c>
      <c r="P249" s="10">
        <v>1</v>
      </c>
      <c r="Q249" s="10" t="s">
        <v>504</v>
      </c>
      <c r="R249" s="10" t="s">
        <v>488</v>
      </c>
      <c r="S249" s="10">
        <v>8113</v>
      </c>
      <c r="T249" s="10">
        <v>8000</v>
      </c>
      <c r="U249" s="14" t="s">
        <v>1402</v>
      </c>
    </row>
    <row r="250" spans="1:21" ht="15" x14ac:dyDescent="0.35">
      <c r="A250" s="9">
        <v>256</v>
      </c>
      <c r="B250" s="10" t="s">
        <v>741</v>
      </c>
      <c r="C250" s="10" t="s">
        <v>0</v>
      </c>
      <c r="D250" s="10" t="s">
        <v>666</v>
      </c>
      <c r="E250" s="10" t="s">
        <v>742</v>
      </c>
      <c r="F250" s="10" t="s">
        <v>16</v>
      </c>
      <c r="G250" s="10">
        <v>500</v>
      </c>
      <c r="H250" s="10">
        <v>1150</v>
      </c>
      <c r="I250" s="10" t="s">
        <v>17</v>
      </c>
      <c r="J250" s="10" t="s">
        <v>743</v>
      </c>
      <c r="K250" s="10">
        <v>3200</v>
      </c>
      <c r="L250" s="10">
        <v>2284</v>
      </c>
      <c r="M250" s="10">
        <v>1835</v>
      </c>
      <c r="N250" s="10">
        <v>13.41</v>
      </c>
      <c r="O250" s="10">
        <v>192</v>
      </c>
      <c r="P250" s="10">
        <v>1</v>
      </c>
      <c r="Q250" s="10" t="s">
        <v>744</v>
      </c>
      <c r="R250" s="10" t="s">
        <v>745</v>
      </c>
      <c r="S250" s="10">
        <v>9672</v>
      </c>
      <c r="T250" s="10">
        <v>9480</v>
      </c>
      <c r="U250" s="14" t="s">
        <v>1402</v>
      </c>
    </row>
    <row r="251" spans="1:21" ht="15" x14ac:dyDescent="0.35">
      <c r="A251" s="9">
        <v>259</v>
      </c>
      <c r="B251" s="10" t="s">
        <v>746</v>
      </c>
      <c r="C251" s="10" t="s">
        <v>0</v>
      </c>
      <c r="D251" s="10" t="s">
        <v>666</v>
      </c>
      <c r="E251" s="10" t="s">
        <v>747</v>
      </c>
      <c r="F251" s="10" t="s">
        <v>16</v>
      </c>
      <c r="G251" s="10">
        <v>500</v>
      </c>
      <c r="H251" s="10">
        <v>1150</v>
      </c>
      <c r="I251" s="10" t="s">
        <v>17</v>
      </c>
      <c r="J251" s="10" t="s">
        <v>748</v>
      </c>
      <c r="K251" s="10">
        <v>3276</v>
      </c>
      <c r="L251" s="10">
        <v>1480</v>
      </c>
      <c r="M251" s="10">
        <v>1832</v>
      </c>
      <c r="N251" s="10">
        <v>8.8800000000000008</v>
      </c>
      <c r="O251" s="10">
        <v>116</v>
      </c>
      <c r="P251" s="10">
        <v>1</v>
      </c>
      <c r="Q251" s="10" t="s">
        <v>749</v>
      </c>
      <c r="R251" s="10" t="s">
        <v>475</v>
      </c>
      <c r="S251" s="10">
        <v>9316</v>
      </c>
      <c r="T251" s="10">
        <v>9200</v>
      </c>
      <c r="U251" s="14" t="s">
        <v>1402</v>
      </c>
    </row>
    <row r="252" spans="1:21" ht="15" x14ac:dyDescent="0.35">
      <c r="A252" s="9">
        <v>260</v>
      </c>
      <c r="B252" s="10" t="s">
        <v>750</v>
      </c>
      <c r="C252" s="10" t="s">
        <v>751</v>
      </c>
      <c r="D252" s="10" t="s">
        <v>751</v>
      </c>
      <c r="E252" s="10" t="s">
        <v>752</v>
      </c>
      <c r="F252" s="10" t="s">
        <v>16</v>
      </c>
      <c r="G252" s="10">
        <v>500</v>
      </c>
      <c r="H252" s="10">
        <v>1150</v>
      </c>
      <c r="I252" s="10" t="s">
        <v>34</v>
      </c>
      <c r="J252" s="10" t="s">
        <v>753</v>
      </c>
      <c r="K252" s="10">
        <v>3656</v>
      </c>
      <c r="L252" s="10">
        <v>2852</v>
      </c>
      <c r="M252" s="10">
        <v>2170</v>
      </c>
      <c r="N252" s="10">
        <v>22.63</v>
      </c>
      <c r="O252" s="10">
        <v>235</v>
      </c>
      <c r="P252" s="10">
        <v>1</v>
      </c>
      <c r="Q252" s="10" t="s">
        <v>754</v>
      </c>
      <c r="R252" s="10" t="s">
        <v>755</v>
      </c>
      <c r="S252" s="10">
        <v>11945</v>
      </c>
      <c r="T252" s="10">
        <v>11710</v>
      </c>
      <c r="U252" s="14" t="s">
        <v>1402</v>
      </c>
    </row>
    <row r="253" spans="1:21" ht="15" x14ac:dyDescent="0.35">
      <c r="A253" s="9">
        <v>261</v>
      </c>
      <c r="B253" s="10" t="s">
        <v>756</v>
      </c>
      <c r="C253" s="10" t="s">
        <v>751</v>
      </c>
      <c r="D253" s="10" t="s">
        <v>751</v>
      </c>
      <c r="E253" s="10" t="s">
        <v>757</v>
      </c>
      <c r="F253" s="10" t="s">
        <v>16</v>
      </c>
      <c r="G253" s="10">
        <v>650</v>
      </c>
      <c r="H253" s="10">
        <v>1200</v>
      </c>
      <c r="I253" s="10" t="s">
        <v>17</v>
      </c>
      <c r="J253" s="10" t="s">
        <v>758</v>
      </c>
      <c r="K253" s="10">
        <v>2800</v>
      </c>
      <c r="L253" s="10">
        <v>2380</v>
      </c>
      <c r="M253" s="10">
        <v>2287</v>
      </c>
      <c r="N253" s="10">
        <v>15.24</v>
      </c>
      <c r="O253" s="10">
        <v>201</v>
      </c>
      <c r="P253" s="10">
        <v>1</v>
      </c>
      <c r="Q253" s="10" t="s">
        <v>759</v>
      </c>
      <c r="R253" s="10" t="s">
        <v>760</v>
      </c>
      <c r="S253" s="10">
        <v>3582</v>
      </c>
      <c r="T253" s="10">
        <v>3381</v>
      </c>
      <c r="U253" s="14" t="s">
        <v>1402</v>
      </c>
    </row>
    <row r="254" spans="1:21" ht="15" x14ac:dyDescent="0.35">
      <c r="A254" s="9">
        <v>262</v>
      </c>
      <c r="B254" s="10" t="s">
        <v>761</v>
      </c>
      <c r="C254" s="10" t="s">
        <v>751</v>
      </c>
      <c r="D254" s="10" t="s">
        <v>751</v>
      </c>
      <c r="E254" s="10" t="s">
        <v>762</v>
      </c>
      <c r="F254" s="10" t="s">
        <v>16</v>
      </c>
      <c r="G254" s="10">
        <v>650</v>
      </c>
      <c r="H254" s="10">
        <v>1150</v>
      </c>
      <c r="I254" s="10" t="s">
        <v>17</v>
      </c>
      <c r="J254" s="10" t="s">
        <v>763</v>
      </c>
      <c r="K254" s="10">
        <v>3082</v>
      </c>
      <c r="L254" s="10">
        <v>1600</v>
      </c>
      <c r="M254" s="10">
        <v>2450</v>
      </c>
      <c r="N254" s="10">
        <v>12.08</v>
      </c>
      <c r="O254" s="10">
        <v>110</v>
      </c>
      <c r="P254" s="10">
        <v>1</v>
      </c>
      <c r="Q254" s="10" t="s">
        <v>764</v>
      </c>
      <c r="R254" s="10" t="s">
        <v>765</v>
      </c>
      <c r="S254" s="10">
        <v>9550</v>
      </c>
      <c r="T254" s="10">
        <v>9440</v>
      </c>
      <c r="U254" s="14" t="s">
        <v>1402</v>
      </c>
    </row>
    <row r="255" spans="1:21" ht="15" x14ac:dyDescent="0.35">
      <c r="A255" s="9">
        <v>263</v>
      </c>
      <c r="B255" s="10" t="s">
        <v>766</v>
      </c>
      <c r="C255" s="10" t="s">
        <v>751</v>
      </c>
      <c r="D255" s="10" t="s">
        <v>751</v>
      </c>
      <c r="E255" s="10" t="s">
        <v>767</v>
      </c>
      <c r="F255" s="10" t="s">
        <v>16</v>
      </c>
      <c r="G255" s="10">
        <v>650</v>
      </c>
      <c r="H255" s="10">
        <v>1150</v>
      </c>
      <c r="I255" s="10" t="s">
        <v>24</v>
      </c>
      <c r="J255" s="10" t="s">
        <v>768</v>
      </c>
      <c r="K255" s="10">
        <v>3600</v>
      </c>
      <c r="L255" s="10">
        <v>1800</v>
      </c>
      <c r="M255" s="10">
        <v>2450</v>
      </c>
      <c r="N255" s="10">
        <v>15.88</v>
      </c>
      <c r="O255" s="10">
        <v>167</v>
      </c>
      <c r="P255" s="10">
        <v>1</v>
      </c>
      <c r="Q255" s="10" t="s">
        <v>769</v>
      </c>
      <c r="R255" s="10" t="s">
        <v>770</v>
      </c>
      <c r="S255" s="10">
        <v>9367</v>
      </c>
      <c r="T255" s="10">
        <v>9200</v>
      </c>
      <c r="U255" s="14" t="s">
        <v>1402</v>
      </c>
    </row>
    <row r="256" spans="1:21" ht="15" x14ac:dyDescent="0.35">
      <c r="A256" s="9">
        <v>264</v>
      </c>
      <c r="B256" s="10" t="s">
        <v>771</v>
      </c>
      <c r="C256" s="10" t="s">
        <v>751</v>
      </c>
      <c r="D256" s="10" t="s">
        <v>751</v>
      </c>
      <c r="E256" s="10" t="s">
        <v>502</v>
      </c>
      <c r="F256" s="10" t="s">
        <v>16</v>
      </c>
      <c r="G256" s="10">
        <v>500</v>
      </c>
      <c r="H256" s="10">
        <v>1150</v>
      </c>
      <c r="I256" s="10" t="s">
        <v>17</v>
      </c>
      <c r="J256" s="10" t="s">
        <v>503</v>
      </c>
      <c r="K256" s="10">
        <v>3176</v>
      </c>
      <c r="L256" s="10">
        <v>1480</v>
      </c>
      <c r="M256" s="10">
        <v>1800</v>
      </c>
      <c r="N256" s="10">
        <v>8.4600000000000009</v>
      </c>
      <c r="O256" s="10">
        <v>113</v>
      </c>
      <c r="P256" s="10">
        <v>1</v>
      </c>
      <c r="Q256" s="10" t="s">
        <v>504</v>
      </c>
      <c r="R256" s="10" t="s">
        <v>488</v>
      </c>
      <c r="S256" s="10">
        <v>8553</v>
      </c>
      <c r="T256" s="10">
        <v>8440</v>
      </c>
      <c r="U256" s="14" t="s">
        <v>1402</v>
      </c>
    </row>
    <row r="257" spans="1:21" ht="15" x14ac:dyDescent="0.35">
      <c r="A257" s="9">
        <v>265</v>
      </c>
      <c r="B257" s="10" t="s">
        <v>772</v>
      </c>
      <c r="C257" s="10" t="s">
        <v>751</v>
      </c>
      <c r="D257" s="10" t="s">
        <v>751</v>
      </c>
      <c r="E257" s="10" t="s">
        <v>502</v>
      </c>
      <c r="F257" s="10" t="s">
        <v>16</v>
      </c>
      <c r="G257" s="10">
        <v>645</v>
      </c>
      <c r="H257" s="10">
        <v>1200</v>
      </c>
      <c r="I257" s="10" t="s">
        <v>39</v>
      </c>
      <c r="J257" s="10" t="s">
        <v>773</v>
      </c>
      <c r="K257" s="10">
        <v>3200</v>
      </c>
      <c r="L257" s="10">
        <v>2280</v>
      </c>
      <c r="M257" s="10">
        <v>2450</v>
      </c>
      <c r="N257" s="10">
        <v>17.88</v>
      </c>
      <c r="O257" s="10">
        <v>217</v>
      </c>
      <c r="P257" s="10">
        <v>1</v>
      </c>
      <c r="Q257" s="10" t="s">
        <v>774</v>
      </c>
      <c r="R257" s="10" t="s">
        <v>775</v>
      </c>
      <c r="S257" s="10">
        <v>11297</v>
      </c>
      <c r="T257" s="10">
        <v>11080</v>
      </c>
      <c r="U257" s="14" t="s">
        <v>1402</v>
      </c>
    </row>
    <row r="258" spans="1:21" ht="15" x14ac:dyDescent="0.35">
      <c r="A258" s="9">
        <v>266</v>
      </c>
      <c r="B258" s="10" t="s">
        <v>776</v>
      </c>
      <c r="C258" s="10" t="s">
        <v>751</v>
      </c>
      <c r="D258" s="10" t="s">
        <v>751</v>
      </c>
      <c r="E258" s="10" t="s">
        <v>563</v>
      </c>
      <c r="F258" s="10" t="s">
        <v>16</v>
      </c>
      <c r="G258" s="10">
        <v>645</v>
      </c>
      <c r="H258" s="10">
        <v>1200</v>
      </c>
      <c r="I258" s="10" t="s">
        <v>17</v>
      </c>
      <c r="J258" s="10" t="s">
        <v>773</v>
      </c>
      <c r="K258" s="10">
        <v>3200</v>
      </c>
      <c r="L258" s="10">
        <v>2280</v>
      </c>
      <c r="M258" s="10">
        <v>2450</v>
      </c>
      <c r="N258" s="10">
        <v>17.88</v>
      </c>
      <c r="O258" s="10">
        <v>217</v>
      </c>
      <c r="P258" s="10">
        <v>1</v>
      </c>
      <c r="Q258" s="10" t="s">
        <v>774</v>
      </c>
      <c r="R258" s="10" t="s">
        <v>775</v>
      </c>
      <c r="S258" s="10">
        <v>10917</v>
      </c>
      <c r="T258" s="10">
        <v>10700</v>
      </c>
      <c r="U258" s="14" t="s">
        <v>1402</v>
      </c>
    </row>
    <row r="259" spans="1:21" ht="15" x14ac:dyDescent="0.35">
      <c r="A259" s="9">
        <v>267</v>
      </c>
      <c r="B259" s="10" t="s">
        <v>777</v>
      </c>
      <c r="C259" s="10" t="s">
        <v>751</v>
      </c>
      <c r="D259" s="10" t="s">
        <v>751</v>
      </c>
      <c r="E259" s="10" t="s">
        <v>512</v>
      </c>
      <c r="F259" s="10" t="s">
        <v>16</v>
      </c>
      <c r="G259" s="10">
        <v>297</v>
      </c>
      <c r="H259" s="10">
        <v>1327</v>
      </c>
      <c r="I259" s="10" t="s">
        <v>17</v>
      </c>
      <c r="J259" s="10" t="s">
        <v>778</v>
      </c>
      <c r="K259" s="10">
        <v>3240</v>
      </c>
      <c r="L259" s="10">
        <v>1667</v>
      </c>
      <c r="M259" s="10">
        <v>1820</v>
      </c>
      <c r="N259" s="10">
        <v>9.83</v>
      </c>
      <c r="O259" s="10">
        <v>163</v>
      </c>
      <c r="P259" s="10">
        <v>1</v>
      </c>
      <c r="Q259" s="10" t="s">
        <v>779</v>
      </c>
      <c r="R259" s="10" t="s">
        <v>780</v>
      </c>
      <c r="S259" s="10">
        <v>8663</v>
      </c>
      <c r="T259" s="10">
        <v>8500</v>
      </c>
      <c r="U259" s="14" t="s">
        <v>1402</v>
      </c>
    </row>
    <row r="260" spans="1:21" ht="15" x14ac:dyDescent="0.35">
      <c r="A260" s="9">
        <v>268</v>
      </c>
      <c r="B260" s="10" t="s">
        <v>781</v>
      </c>
      <c r="C260" s="10" t="s">
        <v>751</v>
      </c>
      <c r="D260" s="10" t="s">
        <v>751</v>
      </c>
      <c r="E260" s="10" t="s">
        <v>512</v>
      </c>
      <c r="F260" s="10" t="s">
        <v>16</v>
      </c>
      <c r="G260" s="10">
        <v>500</v>
      </c>
      <c r="H260" s="10">
        <v>1150</v>
      </c>
      <c r="I260" s="10" t="s">
        <v>17</v>
      </c>
      <c r="J260" s="10" t="s">
        <v>748</v>
      </c>
      <c r="K260" s="10">
        <v>3276</v>
      </c>
      <c r="L260" s="10">
        <v>1480</v>
      </c>
      <c r="M260" s="10">
        <v>1832</v>
      </c>
      <c r="N260" s="10">
        <v>8.8800000000000008</v>
      </c>
      <c r="O260" s="10">
        <v>116</v>
      </c>
      <c r="P260" s="10">
        <v>1</v>
      </c>
      <c r="Q260" s="10" t="s">
        <v>749</v>
      </c>
      <c r="R260" s="10" t="s">
        <v>475</v>
      </c>
      <c r="S260" s="10">
        <v>8566</v>
      </c>
      <c r="T260" s="10">
        <v>8450</v>
      </c>
      <c r="U260" s="14" t="s">
        <v>1402</v>
      </c>
    </row>
    <row r="261" spans="1:21" ht="15" x14ac:dyDescent="0.35">
      <c r="A261" s="9">
        <v>269</v>
      </c>
      <c r="B261" s="10" t="s">
        <v>782</v>
      </c>
      <c r="C261" s="10" t="s">
        <v>751</v>
      </c>
      <c r="D261" s="10" t="s">
        <v>751</v>
      </c>
      <c r="E261" s="10" t="s">
        <v>518</v>
      </c>
      <c r="F261" s="10" t="s">
        <v>16</v>
      </c>
      <c r="G261" s="10">
        <v>500</v>
      </c>
      <c r="H261" s="10">
        <v>1150</v>
      </c>
      <c r="I261" s="10" t="s">
        <v>17</v>
      </c>
      <c r="J261" s="10" t="s">
        <v>748</v>
      </c>
      <c r="K261" s="10">
        <v>3276</v>
      </c>
      <c r="L261" s="10">
        <v>1480</v>
      </c>
      <c r="M261" s="10">
        <v>1832</v>
      </c>
      <c r="N261" s="10">
        <v>8.8800000000000008</v>
      </c>
      <c r="O261" s="10">
        <v>116</v>
      </c>
      <c r="P261" s="10">
        <v>1</v>
      </c>
      <c r="Q261" s="10" t="s">
        <v>749</v>
      </c>
      <c r="R261" s="10" t="s">
        <v>475</v>
      </c>
      <c r="S261" s="10">
        <v>9016</v>
      </c>
      <c r="T261" s="10">
        <v>8900</v>
      </c>
      <c r="U261" s="14" t="s">
        <v>1402</v>
      </c>
    </row>
    <row r="262" spans="1:21" ht="15" x14ac:dyDescent="0.35">
      <c r="A262" s="9">
        <v>270</v>
      </c>
      <c r="B262" s="10" t="s">
        <v>783</v>
      </c>
      <c r="C262" s="10" t="s">
        <v>1</v>
      </c>
      <c r="D262" s="10" t="s">
        <v>784</v>
      </c>
      <c r="E262" s="10" t="s">
        <v>785</v>
      </c>
      <c r="F262" s="10" t="s">
        <v>41</v>
      </c>
      <c r="G262" s="10">
        <v>600</v>
      </c>
      <c r="H262" s="10">
        <v>1540</v>
      </c>
      <c r="I262" s="10" t="s">
        <v>17</v>
      </c>
      <c r="J262" s="10" t="s">
        <v>786</v>
      </c>
      <c r="K262" s="10">
        <v>3850</v>
      </c>
      <c r="L262" s="10">
        <v>2034</v>
      </c>
      <c r="M262" s="10">
        <v>1992</v>
      </c>
      <c r="N262" s="10">
        <v>15.6</v>
      </c>
      <c r="O262" s="10">
        <v>230</v>
      </c>
      <c r="P262" s="10">
        <v>1</v>
      </c>
      <c r="Q262" s="10" t="s">
        <v>787</v>
      </c>
      <c r="R262" s="10" t="s">
        <v>788</v>
      </c>
      <c r="S262" s="10">
        <v>18230</v>
      </c>
      <c r="T262" s="10">
        <v>18000</v>
      </c>
      <c r="U262" s="14" t="s">
        <v>1402</v>
      </c>
    </row>
    <row r="263" spans="1:21" ht="15" x14ac:dyDescent="0.35">
      <c r="A263" s="9">
        <v>271</v>
      </c>
      <c r="B263" s="10" t="s">
        <v>789</v>
      </c>
      <c r="C263" s="10" t="s">
        <v>1</v>
      </c>
      <c r="D263" s="10" t="s">
        <v>784</v>
      </c>
      <c r="E263" s="10" t="s">
        <v>790</v>
      </c>
      <c r="F263" s="10" t="s">
        <v>16</v>
      </c>
      <c r="G263" s="10">
        <v>585</v>
      </c>
      <c r="H263" s="10">
        <v>1800</v>
      </c>
      <c r="I263" s="10" t="s">
        <v>17</v>
      </c>
      <c r="J263" s="10" t="s">
        <v>791</v>
      </c>
      <c r="K263" s="10">
        <v>4025</v>
      </c>
      <c r="L263" s="10">
        <v>2294</v>
      </c>
      <c r="M263" s="10">
        <v>2345</v>
      </c>
      <c r="N263" s="10">
        <v>21.65</v>
      </c>
      <c r="O263" s="10">
        <v>245</v>
      </c>
      <c r="P263" s="10">
        <v>1</v>
      </c>
      <c r="Q263" s="10" t="s">
        <v>792</v>
      </c>
      <c r="R263" s="10" t="s">
        <v>793</v>
      </c>
      <c r="S263" s="10">
        <v>16145</v>
      </c>
      <c r="T263" s="10">
        <v>15900</v>
      </c>
      <c r="U263" s="14" t="s">
        <v>1402</v>
      </c>
    </row>
    <row r="264" spans="1:21" ht="15" x14ac:dyDescent="0.35">
      <c r="A264" s="9">
        <v>272</v>
      </c>
      <c r="B264" s="10" t="s">
        <v>794</v>
      </c>
      <c r="C264" s="10" t="s">
        <v>1</v>
      </c>
      <c r="D264" s="10" t="s">
        <v>784</v>
      </c>
      <c r="E264" s="10" t="s">
        <v>790</v>
      </c>
      <c r="F264" s="10" t="s">
        <v>16</v>
      </c>
      <c r="G264" s="10">
        <v>625</v>
      </c>
      <c r="H264" s="10">
        <v>1800</v>
      </c>
      <c r="I264" s="10" t="s">
        <v>17</v>
      </c>
      <c r="J264" s="10" t="s">
        <v>795</v>
      </c>
      <c r="K264" s="10">
        <v>3965</v>
      </c>
      <c r="L264" s="10">
        <v>2500</v>
      </c>
      <c r="M264" s="10">
        <v>2250</v>
      </c>
      <c r="N264" s="10">
        <v>22.3</v>
      </c>
      <c r="O264" s="10">
        <v>249</v>
      </c>
      <c r="P264" s="10">
        <v>1</v>
      </c>
      <c r="Q264" s="10" t="s">
        <v>796</v>
      </c>
      <c r="R264" s="10" t="s">
        <v>797</v>
      </c>
      <c r="S264" s="10">
        <v>16381</v>
      </c>
      <c r="T264" s="10">
        <v>16132</v>
      </c>
      <c r="U264" s="14" t="s">
        <v>1402</v>
      </c>
    </row>
    <row r="265" spans="1:21" ht="15" x14ac:dyDescent="0.35">
      <c r="A265" s="9">
        <v>273</v>
      </c>
      <c r="B265" s="10" t="s">
        <v>798</v>
      </c>
      <c r="C265" s="10" t="s">
        <v>1</v>
      </c>
      <c r="D265" s="10" t="s">
        <v>784</v>
      </c>
      <c r="E265" s="10" t="s">
        <v>799</v>
      </c>
      <c r="F265" s="10" t="s">
        <v>16</v>
      </c>
      <c r="G265" s="10">
        <v>475</v>
      </c>
      <c r="H265" s="10">
        <v>1600</v>
      </c>
      <c r="I265" s="10" t="s">
        <v>24</v>
      </c>
      <c r="J265" s="10" t="s">
        <v>800</v>
      </c>
      <c r="K265" s="10">
        <v>4000</v>
      </c>
      <c r="L265" s="10">
        <v>2300</v>
      </c>
      <c r="M265" s="10">
        <v>2400</v>
      </c>
      <c r="N265" s="10">
        <v>22.08</v>
      </c>
      <c r="O265" s="10">
        <v>245</v>
      </c>
      <c r="P265" s="10">
        <v>1</v>
      </c>
      <c r="Q265" s="10" t="s">
        <v>801</v>
      </c>
      <c r="R265" s="10" t="s">
        <v>802</v>
      </c>
      <c r="S265" s="10">
        <v>18795</v>
      </c>
      <c r="T265" s="10">
        <v>18550</v>
      </c>
      <c r="U265" s="14" t="s">
        <v>1402</v>
      </c>
    </row>
    <row r="266" spans="1:21" ht="15" x14ac:dyDescent="0.35">
      <c r="A266" s="9">
        <v>274</v>
      </c>
      <c r="B266" s="10" t="s">
        <v>803</v>
      </c>
      <c r="C266" s="10" t="s">
        <v>1</v>
      </c>
      <c r="D266" s="10" t="s">
        <v>784</v>
      </c>
      <c r="E266" s="10" t="s">
        <v>804</v>
      </c>
      <c r="F266" s="10" t="s">
        <v>16</v>
      </c>
      <c r="G266" s="10">
        <v>475</v>
      </c>
      <c r="H266" s="10">
        <v>1440</v>
      </c>
      <c r="I266" s="10" t="s">
        <v>34</v>
      </c>
      <c r="J266" s="10" t="s">
        <v>805</v>
      </c>
      <c r="K266" s="10">
        <v>3625</v>
      </c>
      <c r="L266" s="10">
        <v>2254</v>
      </c>
      <c r="M266" s="10">
        <v>2790</v>
      </c>
      <c r="N266" s="10">
        <v>22.8</v>
      </c>
      <c r="O266" s="10">
        <v>341</v>
      </c>
      <c r="P266" s="10">
        <v>1</v>
      </c>
      <c r="Q266" s="10" t="s">
        <v>806</v>
      </c>
      <c r="R266" s="10" t="s">
        <v>807</v>
      </c>
      <c r="S266" s="10">
        <v>14341</v>
      </c>
      <c r="T266" s="10">
        <v>14000</v>
      </c>
      <c r="U266" s="14" t="s">
        <v>1402</v>
      </c>
    </row>
    <row r="267" spans="1:21" ht="15" x14ac:dyDescent="0.35">
      <c r="A267" s="9">
        <v>275</v>
      </c>
      <c r="B267" s="10" t="s">
        <v>808</v>
      </c>
      <c r="C267" s="10" t="s">
        <v>1</v>
      </c>
      <c r="D267" s="10" t="s">
        <v>784</v>
      </c>
      <c r="E267" s="10" t="s">
        <v>809</v>
      </c>
      <c r="F267" s="10" t="s">
        <v>16</v>
      </c>
      <c r="G267" s="10">
        <v>800</v>
      </c>
      <c r="H267" s="10">
        <v>1640</v>
      </c>
      <c r="I267" s="10" t="s">
        <v>17</v>
      </c>
      <c r="J267" s="10" t="s">
        <v>810</v>
      </c>
      <c r="K267" s="10">
        <v>4275</v>
      </c>
      <c r="L267" s="10">
        <v>1990</v>
      </c>
      <c r="M267" s="10">
        <v>2330</v>
      </c>
      <c r="N267" s="10">
        <v>19.82</v>
      </c>
      <c r="O267" s="10">
        <v>208</v>
      </c>
      <c r="P267" s="10">
        <v>1</v>
      </c>
      <c r="Q267" s="10" t="s">
        <v>811</v>
      </c>
      <c r="R267" s="10" t="s">
        <v>812</v>
      </c>
      <c r="S267" s="10">
        <v>16768</v>
      </c>
      <c r="T267" s="10">
        <v>16560</v>
      </c>
      <c r="U267" s="14" t="s">
        <v>1402</v>
      </c>
    </row>
    <row r="268" spans="1:21" ht="15" x14ac:dyDescent="0.35">
      <c r="A268" s="9">
        <v>276</v>
      </c>
      <c r="B268" s="10" t="s">
        <v>813</v>
      </c>
      <c r="C268" s="10" t="s">
        <v>1</v>
      </c>
      <c r="D268" s="10" t="s">
        <v>784</v>
      </c>
      <c r="E268" s="10" t="s">
        <v>814</v>
      </c>
      <c r="F268" s="10" t="s">
        <v>16</v>
      </c>
      <c r="G268" s="10">
        <v>710</v>
      </c>
      <c r="H268" s="10">
        <v>1500</v>
      </c>
      <c r="I268" s="10" t="s">
        <v>17</v>
      </c>
      <c r="J268" s="10" t="s">
        <v>815</v>
      </c>
      <c r="K268" s="10">
        <v>3960</v>
      </c>
      <c r="L268" s="10">
        <v>1850</v>
      </c>
      <c r="M268" s="10">
        <v>2250</v>
      </c>
      <c r="N268" s="10">
        <v>16.48</v>
      </c>
      <c r="O268" s="10">
        <v>188</v>
      </c>
      <c r="P268" s="10">
        <v>1</v>
      </c>
      <c r="Q268" s="10" t="s">
        <v>816</v>
      </c>
      <c r="R268" s="10" t="s">
        <v>817</v>
      </c>
      <c r="S268" s="10">
        <v>18308</v>
      </c>
      <c r="T268" s="10">
        <v>18120</v>
      </c>
      <c r="U268" s="14" t="s">
        <v>1402</v>
      </c>
    </row>
    <row r="269" spans="1:21" ht="15" x14ac:dyDescent="0.35">
      <c r="A269" s="9">
        <v>277</v>
      </c>
      <c r="B269" s="10" t="s">
        <v>818</v>
      </c>
      <c r="C269" s="10" t="s">
        <v>1</v>
      </c>
      <c r="D269" s="10" t="s">
        <v>784</v>
      </c>
      <c r="E269" s="10" t="s">
        <v>819</v>
      </c>
      <c r="F269" s="10" t="s">
        <v>16</v>
      </c>
      <c r="G269" s="10">
        <v>750</v>
      </c>
      <c r="H269" s="10">
        <v>1490</v>
      </c>
      <c r="I269" s="10" t="s">
        <v>34</v>
      </c>
      <c r="J269" s="10" t="s">
        <v>820</v>
      </c>
      <c r="K269" s="10">
        <v>3905</v>
      </c>
      <c r="L269" s="10">
        <v>2364</v>
      </c>
      <c r="M269" s="10">
        <v>2945</v>
      </c>
      <c r="N269" s="10">
        <v>27.19</v>
      </c>
      <c r="O269" s="10">
        <v>220</v>
      </c>
      <c r="P269" s="10">
        <v>1</v>
      </c>
      <c r="Q269" s="10" t="s">
        <v>821</v>
      </c>
      <c r="R269" s="10" t="s">
        <v>822</v>
      </c>
      <c r="S269" s="10">
        <v>17320</v>
      </c>
      <c r="T269" s="10">
        <v>17100</v>
      </c>
      <c r="U269" s="14" t="s">
        <v>1402</v>
      </c>
    </row>
    <row r="270" spans="1:21" ht="15" x14ac:dyDescent="0.35">
      <c r="A270" s="9">
        <v>278</v>
      </c>
      <c r="B270" s="10" t="s">
        <v>823</v>
      </c>
      <c r="C270" s="10" t="s">
        <v>1</v>
      </c>
      <c r="D270" s="10" t="s">
        <v>784</v>
      </c>
      <c r="E270" s="10" t="s">
        <v>819</v>
      </c>
      <c r="F270" s="10" t="s">
        <v>16</v>
      </c>
      <c r="G270" s="10">
        <v>800</v>
      </c>
      <c r="H270" s="10">
        <v>1540</v>
      </c>
      <c r="I270" s="10" t="s">
        <v>39</v>
      </c>
      <c r="J270" s="10" t="s">
        <v>824</v>
      </c>
      <c r="K270" s="10">
        <v>3840</v>
      </c>
      <c r="L270" s="10">
        <v>2160</v>
      </c>
      <c r="M270" s="10">
        <v>2800</v>
      </c>
      <c r="N270" s="10">
        <v>23.22</v>
      </c>
      <c r="O270" s="10">
        <v>245</v>
      </c>
      <c r="P270" s="10">
        <v>1</v>
      </c>
      <c r="Q270" s="10" t="s">
        <v>825</v>
      </c>
      <c r="R270" s="10" t="s">
        <v>826</v>
      </c>
      <c r="S270" s="10">
        <v>18745</v>
      </c>
      <c r="T270" s="10">
        <v>18500</v>
      </c>
      <c r="U270" s="14" t="s">
        <v>1402</v>
      </c>
    </row>
    <row r="271" spans="1:21" ht="15" x14ac:dyDescent="0.35">
      <c r="A271" s="9">
        <v>279</v>
      </c>
      <c r="B271" s="10" t="s">
        <v>827</v>
      </c>
      <c r="C271" s="10" t="s">
        <v>1</v>
      </c>
      <c r="D271" s="10" t="s">
        <v>784</v>
      </c>
      <c r="E271" s="10" t="s">
        <v>828</v>
      </c>
      <c r="F271" s="10" t="s">
        <v>16</v>
      </c>
      <c r="G271" s="10">
        <v>495</v>
      </c>
      <c r="H271" s="10">
        <v>1720</v>
      </c>
      <c r="I271" s="10" t="s">
        <v>17</v>
      </c>
      <c r="J271" s="10" t="s">
        <v>829</v>
      </c>
      <c r="K271" s="10">
        <v>3625</v>
      </c>
      <c r="L271" s="10">
        <v>2174</v>
      </c>
      <c r="M271" s="10">
        <v>2355</v>
      </c>
      <c r="N271" s="10">
        <v>18.559999999999999</v>
      </c>
      <c r="O271" s="10">
        <v>435</v>
      </c>
      <c r="P271" s="10">
        <v>1</v>
      </c>
      <c r="Q271" s="10" t="s">
        <v>830</v>
      </c>
      <c r="R271" s="10" t="s">
        <v>831</v>
      </c>
      <c r="S271" s="10">
        <v>13635</v>
      </c>
      <c r="T271" s="10">
        <v>13200</v>
      </c>
      <c r="U271" s="14" t="s">
        <v>1402</v>
      </c>
    </row>
    <row r="272" spans="1:21" ht="15" x14ac:dyDescent="0.35">
      <c r="A272" s="9">
        <v>280</v>
      </c>
      <c r="B272" s="10" t="s">
        <v>832</v>
      </c>
      <c r="C272" s="10" t="s">
        <v>1</v>
      </c>
      <c r="D272" s="10" t="s">
        <v>784</v>
      </c>
      <c r="E272" s="10" t="s">
        <v>828</v>
      </c>
      <c r="F272" s="10" t="s">
        <v>16</v>
      </c>
      <c r="G272" s="10">
        <v>630</v>
      </c>
      <c r="H272" s="10">
        <v>1540</v>
      </c>
      <c r="I272" s="10" t="s">
        <v>17</v>
      </c>
      <c r="J272" s="10" t="s">
        <v>833</v>
      </c>
      <c r="K272" s="10">
        <v>3300</v>
      </c>
      <c r="L272" s="10">
        <v>2100</v>
      </c>
      <c r="M272" s="10">
        <v>2350</v>
      </c>
      <c r="N272" s="10">
        <v>16.29</v>
      </c>
      <c r="O272" s="10">
        <v>245</v>
      </c>
      <c r="P272" s="10">
        <v>1</v>
      </c>
      <c r="Q272" s="10" t="s">
        <v>834</v>
      </c>
      <c r="R272" s="10" t="s">
        <v>835</v>
      </c>
      <c r="S272" s="10">
        <v>13495</v>
      </c>
      <c r="T272" s="10">
        <v>13250</v>
      </c>
      <c r="U272" s="14" t="s">
        <v>1402</v>
      </c>
    </row>
    <row r="273" spans="1:21" ht="15" x14ac:dyDescent="0.35">
      <c r="A273" s="9">
        <v>281</v>
      </c>
      <c r="B273" s="10" t="s">
        <v>836</v>
      </c>
      <c r="C273" s="10" t="s">
        <v>1</v>
      </c>
      <c r="D273" s="10" t="s">
        <v>784</v>
      </c>
      <c r="E273" s="10" t="s">
        <v>828</v>
      </c>
      <c r="F273" s="10" t="s">
        <v>16</v>
      </c>
      <c r="G273" s="10">
        <v>710</v>
      </c>
      <c r="H273" s="10">
        <v>1500</v>
      </c>
      <c r="I273" s="10" t="s">
        <v>17</v>
      </c>
      <c r="J273" s="10" t="s">
        <v>837</v>
      </c>
      <c r="K273" s="10">
        <v>3560</v>
      </c>
      <c r="L273" s="10">
        <v>1850</v>
      </c>
      <c r="M273" s="10">
        <v>2250</v>
      </c>
      <c r="N273" s="10">
        <v>14.82</v>
      </c>
      <c r="O273" s="10">
        <v>175</v>
      </c>
      <c r="P273" s="10">
        <v>1</v>
      </c>
      <c r="Q273" s="10" t="s">
        <v>838</v>
      </c>
      <c r="R273" s="10" t="s">
        <v>839</v>
      </c>
      <c r="S273" s="10">
        <v>13964</v>
      </c>
      <c r="T273" s="10">
        <v>13789</v>
      </c>
      <c r="U273" s="14" t="s">
        <v>1402</v>
      </c>
    </row>
    <row r="274" spans="1:21" ht="15" x14ac:dyDescent="0.35">
      <c r="A274" s="9">
        <v>282</v>
      </c>
      <c r="B274" s="10" t="s">
        <v>840</v>
      </c>
      <c r="C274" s="10" t="s">
        <v>1</v>
      </c>
      <c r="D274" s="10" t="s">
        <v>784</v>
      </c>
      <c r="E274" s="10" t="s">
        <v>828</v>
      </c>
      <c r="F274" s="10" t="s">
        <v>16</v>
      </c>
      <c r="G274" s="10">
        <v>800</v>
      </c>
      <c r="H274" s="10">
        <v>1540</v>
      </c>
      <c r="I274" s="10" t="s">
        <v>24</v>
      </c>
      <c r="J274" s="10" t="s">
        <v>841</v>
      </c>
      <c r="K274" s="10">
        <v>3740</v>
      </c>
      <c r="L274" s="10">
        <v>2250</v>
      </c>
      <c r="M274" s="10">
        <v>2850</v>
      </c>
      <c r="N274" s="10">
        <v>23.98</v>
      </c>
      <c r="O274" s="10">
        <v>214</v>
      </c>
      <c r="P274" s="10">
        <v>1</v>
      </c>
      <c r="Q274" s="10" t="s">
        <v>842</v>
      </c>
      <c r="R274" s="10" t="s">
        <v>843</v>
      </c>
      <c r="S274" s="10">
        <v>15514</v>
      </c>
      <c r="T274" s="10">
        <v>15300</v>
      </c>
      <c r="U274" s="14" t="s">
        <v>1402</v>
      </c>
    </row>
    <row r="275" spans="1:21" ht="15" x14ac:dyDescent="0.35">
      <c r="A275" s="9">
        <v>283</v>
      </c>
      <c r="B275" s="10" t="s">
        <v>844</v>
      </c>
      <c r="C275" s="10" t="s">
        <v>1</v>
      </c>
      <c r="D275" s="10" t="s">
        <v>784</v>
      </c>
      <c r="E275" s="10" t="s">
        <v>845</v>
      </c>
      <c r="F275" s="10" t="s">
        <v>16</v>
      </c>
      <c r="G275" s="10">
        <v>600</v>
      </c>
      <c r="H275" s="10">
        <v>1540</v>
      </c>
      <c r="I275" s="10" t="s">
        <v>17</v>
      </c>
      <c r="J275" s="10" t="s">
        <v>846</v>
      </c>
      <c r="K275" s="10">
        <v>3035</v>
      </c>
      <c r="L275" s="10">
        <v>2034</v>
      </c>
      <c r="M275" s="10">
        <v>2250</v>
      </c>
      <c r="N275" s="10">
        <v>13.89</v>
      </c>
      <c r="O275" s="10">
        <v>240</v>
      </c>
      <c r="P275" s="10">
        <v>1</v>
      </c>
      <c r="Q275" s="10" t="s">
        <v>847</v>
      </c>
      <c r="R275" s="10" t="s">
        <v>848</v>
      </c>
      <c r="S275" s="10">
        <v>13760</v>
      </c>
      <c r="T275" s="10">
        <v>13520</v>
      </c>
      <c r="U275" s="14" t="s">
        <v>1402</v>
      </c>
    </row>
    <row r="276" spans="1:21" ht="15" x14ac:dyDescent="0.35">
      <c r="A276" s="9">
        <v>284</v>
      </c>
      <c r="B276" s="10" t="s">
        <v>849</v>
      </c>
      <c r="C276" s="10" t="s">
        <v>1</v>
      </c>
      <c r="D276" s="10" t="s">
        <v>784</v>
      </c>
      <c r="E276" s="10" t="s">
        <v>845</v>
      </c>
      <c r="F276" s="10" t="s">
        <v>16</v>
      </c>
      <c r="G276" s="10">
        <v>710</v>
      </c>
      <c r="H276" s="10">
        <v>1540</v>
      </c>
      <c r="I276" s="10" t="s">
        <v>17</v>
      </c>
      <c r="J276" s="10" t="s">
        <v>850</v>
      </c>
      <c r="K276" s="10">
        <v>2930</v>
      </c>
      <c r="L276" s="10">
        <v>1890</v>
      </c>
      <c r="M276" s="10">
        <v>2201</v>
      </c>
      <c r="N276" s="10">
        <v>12.19</v>
      </c>
      <c r="O276" s="10">
        <v>158</v>
      </c>
      <c r="P276" s="10">
        <v>1</v>
      </c>
      <c r="Q276" s="10" t="s">
        <v>851</v>
      </c>
      <c r="R276" s="10" t="s">
        <v>852</v>
      </c>
      <c r="S276" s="10">
        <v>13588</v>
      </c>
      <c r="T276" s="10">
        <v>13430</v>
      </c>
      <c r="U276" s="14" t="s">
        <v>1402</v>
      </c>
    </row>
    <row r="277" spans="1:21" ht="15" x14ac:dyDescent="0.35">
      <c r="A277" s="9">
        <v>285</v>
      </c>
      <c r="B277" s="10" t="s">
        <v>853</v>
      </c>
      <c r="C277" s="10" t="s">
        <v>1</v>
      </c>
      <c r="D277" s="10" t="s">
        <v>784</v>
      </c>
      <c r="E277" s="10" t="s">
        <v>854</v>
      </c>
      <c r="F277" s="10" t="s">
        <v>16</v>
      </c>
      <c r="G277" s="10">
        <v>510</v>
      </c>
      <c r="H277" s="10">
        <v>1540</v>
      </c>
      <c r="I277" s="10" t="s">
        <v>17</v>
      </c>
      <c r="J277" s="10" t="s">
        <v>855</v>
      </c>
      <c r="K277" s="10">
        <v>4195</v>
      </c>
      <c r="L277" s="10">
        <v>2194</v>
      </c>
      <c r="M277" s="10">
        <v>2780</v>
      </c>
      <c r="N277" s="10">
        <v>25.59</v>
      </c>
      <c r="O277" s="10">
        <v>280</v>
      </c>
      <c r="P277" s="10">
        <v>1</v>
      </c>
      <c r="Q277" s="10" t="s">
        <v>856</v>
      </c>
      <c r="R277" s="10" t="s">
        <v>857</v>
      </c>
      <c r="S277" s="10">
        <v>18400</v>
      </c>
      <c r="T277" s="10">
        <v>18400</v>
      </c>
      <c r="U277" s="14" t="s">
        <v>1402</v>
      </c>
    </row>
    <row r="278" spans="1:21" ht="15" x14ac:dyDescent="0.35">
      <c r="A278" s="9">
        <v>287</v>
      </c>
      <c r="B278" s="10" t="s">
        <v>858</v>
      </c>
      <c r="C278" s="10" t="s">
        <v>1</v>
      </c>
      <c r="D278" s="10" t="s">
        <v>784</v>
      </c>
      <c r="E278" s="10" t="s">
        <v>854</v>
      </c>
      <c r="F278" s="10" t="s">
        <v>16</v>
      </c>
      <c r="G278" s="10">
        <v>850</v>
      </c>
      <c r="H278" s="10">
        <v>1600</v>
      </c>
      <c r="I278" s="10" t="s">
        <v>17</v>
      </c>
      <c r="J278" s="10" t="s">
        <v>859</v>
      </c>
      <c r="K278" s="10">
        <v>4400</v>
      </c>
      <c r="L278" s="10">
        <v>2150</v>
      </c>
      <c r="M278" s="10">
        <v>2450</v>
      </c>
      <c r="N278" s="10">
        <v>23.18</v>
      </c>
      <c r="O278" s="10">
        <v>297</v>
      </c>
      <c r="P278" s="10">
        <v>1</v>
      </c>
      <c r="Q278" s="10" t="s">
        <v>860</v>
      </c>
      <c r="R278" s="10" t="s">
        <v>861</v>
      </c>
      <c r="S278" s="10">
        <v>21097</v>
      </c>
      <c r="T278" s="10">
        <v>20800</v>
      </c>
      <c r="U278" s="14" t="s">
        <v>1402</v>
      </c>
    </row>
    <row r="279" spans="1:21" ht="15" x14ac:dyDescent="0.35">
      <c r="A279" s="9">
        <v>286</v>
      </c>
      <c r="B279" s="10" t="s">
        <v>862</v>
      </c>
      <c r="C279" s="10" t="s">
        <v>1</v>
      </c>
      <c r="D279" s="10" t="s">
        <v>784</v>
      </c>
      <c r="E279" s="10" t="s">
        <v>854</v>
      </c>
      <c r="F279" s="10" t="s">
        <v>16</v>
      </c>
      <c r="G279" s="10">
        <v>510</v>
      </c>
      <c r="H279" s="10">
        <v>1540</v>
      </c>
      <c r="I279" s="10" t="s">
        <v>24</v>
      </c>
      <c r="J279" s="10" t="s">
        <v>863</v>
      </c>
      <c r="K279" s="10">
        <v>4195</v>
      </c>
      <c r="L279" s="10">
        <v>2194</v>
      </c>
      <c r="M279" s="10">
        <v>2611</v>
      </c>
      <c r="N279" s="10">
        <v>24.03</v>
      </c>
      <c r="O279" s="10">
        <v>280</v>
      </c>
      <c r="P279" s="10">
        <v>1</v>
      </c>
      <c r="Q279" s="10" t="s">
        <v>856</v>
      </c>
      <c r="R279" s="10" t="s">
        <v>864</v>
      </c>
      <c r="S279" s="10">
        <v>19780</v>
      </c>
      <c r="T279" s="10">
        <v>19500</v>
      </c>
      <c r="U279" s="14" t="s">
        <v>1402</v>
      </c>
    </row>
    <row r="280" spans="1:21" ht="15" x14ac:dyDescent="0.35">
      <c r="A280" s="9">
        <v>288</v>
      </c>
      <c r="B280" s="10" t="s">
        <v>865</v>
      </c>
      <c r="C280" s="10" t="s">
        <v>1</v>
      </c>
      <c r="D280" s="10" t="s">
        <v>784</v>
      </c>
      <c r="E280" s="10" t="s">
        <v>194</v>
      </c>
      <c r="F280" s="10" t="s">
        <v>16</v>
      </c>
      <c r="G280" s="10">
        <v>600</v>
      </c>
      <c r="H280" s="10">
        <v>0</v>
      </c>
      <c r="I280" s="10" t="s">
        <v>17</v>
      </c>
      <c r="J280" s="10" t="s">
        <v>866</v>
      </c>
      <c r="K280" s="10">
        <v>3000</v>
      </c>
      <c r="L280" s="10">
        <v>1820</v>
      </c>
      <c r="M280" s="10">
        <v>2100</v>
      </c>
      <c r="N280" s="10">
        <v>11.47</v>
      </c>
      <c r="O280" s="10">
        <v>390</v>
      </c>
      <c r="P280" s="10">
        <v>1</v>
      </c>
      <c r="Q280" s="10" t="s">
        <v>867</v>
      </c>
      <c r="R280" s="10" t="s">
        <v>868</v>
      </c>
      <c r="S280" s="10">
        <v>11390</v>
      </c>
      <c r="T280" s="10">
        <v>11000</v>
      </c>
      <c r="U280" s="14" t="s">
        <v>1402</v>
      </c>
    </row>
    <row r="281" spans="1:21" ht="15" x14ac:dyDescent="0.35">
      <c r="A281" s="9">
        <v>289</v>
      </c>
      <c r="B281" s="10" t="s">
        <v>869</v>
      </c>
      <c r="C281" s="10" t="s">
        <v>1</v>
      </c>
      <c r="D281" s="10" t="s">
        <v>784</v>
      </c>
      <c r="E281" s="10" t="s">
        <v>208</v>
      </c>
      <c r="F281" s="10" t="s">
        <v>16</v>
      </c>
      <c r="G281" s="10">
        <v>710</v>
      </c>
      <c r="H281" s="10">
        <v>1540</v>
      </c>
      <c r="I281" s="10" t="s">
        <v>39</v>
      </c>
      <c r="J281" s="10" t="s">
        <v>870</v>
      </c>
      <c r="K281" s="10">
        <v>2940</v>
      </c>
      <c r="L281" s="10">
        <v>2540</v>
      </c>
      <c r="M281" s="10">
        <v>2800</v>
      </c>
      <c r="N281" s="10">
        <v>20.91</v>
      </c>
      <c r="O281" s="10">
        <v>177</v>
      </c>
      <c r="P281" s="10">
        <v>1</v>
      </c>
      <c r="Q281" s="10" t="s">
        <v>871</v>
      </c>
      <c r="R281" s="10" t="s">
        <v>872</v>
      </c>
      <c r="S281" s="10">
        <v>12961</v>
      </c>
      <c r="T281" s="10">
        <v>12784</v>
      </c>
      <c r="U281" s="14" t="s">
        <v>1402</v>
      </c>
    </row>
    <row r="282" spans="1:21" ht="15" x14ac:dyDescent="0.35">
      <c r="A282" s="9">
        <v>290</v>
      </c>
      <c r="B282" s="10" t="s">
        <v>873</v>
      </c>
      <c r="C282" s="10" t="s">
        <v>1</v>
      </c>
      <c r="D282" s="10" t="s">
        <v>784</v>
      </c>
      <c r="E282" s="10" t="s">
        <v>29</v>
      </c>
      <c r="F282" s="10" t="s">
        <v>16</v>
      </c>
      <c r="G282" s="10">
        <v>405</v>
      </c>
      <c r="H282" s="10">
        <v>1700</v>
      </c>
      <c r="I282" s="10" t="s">
        <v>17</v>
      </c>
      <c r="J282" s="10" t="s">
        <v>874</v>
      </c>
      <c r="K282" s="10">
        <v>3190</v>
      </c>
      <c r="L282" s="10">
        <v>2154</v>
      </c>
      <c r="M282" s="10">
        <v>2250</v>
      </c>
      <c r="N282" s="10">
        <v>15.46</v>
      </c>
      <c r="O282" s="10">
        <v>265</v>
      </c>
      <c r="P282" s="10">
        <v>1</v>
      </c>
      <c r="Q282" s="10" t="s">
        <v>875</v>
      </c>
      <c r="R282" s="10" t="s">
        <v>876</v>
      </c>
      <c r="S282" s="10">
        <v>12108</v>
      </c>
      <c r="T282" s="10">
        <v>11843</v>
      </c>
      <c r="U282" s="14" t="s">
        <v>1402</v>
      </c>
    </row>
    <row r="283" spans="1:21" ht="15" x14ac:dyDescent="0.35">
      <c r="A283" s="9">
        <v>291</v>
      </c>
      <c r="B283" s="10" t="s">
        <v>877</v>
      </c>
      <c r="C283" s="10" t="s">
        <v>1</v>
      </c>
      <c r="D283" s="10" t="s">
        <v>784</v>
      </c>
      <c r="E283" s="10" t="s">
        <v>216</v>
      </c>
      <c r="F283" s="10" t="s">
        <v>16</v>
      </c>
      <c r="G283" s="10">
        <v>600</v>
      </c>
      <c r="H283" s="10">
        <v>1540</v>
      </c>
      <c r="I283" s="10" t="s">
        <v>17</v>
      </c>
      <c r="J283" s="10" t="s">
        <v>878</v>
      </c>
      <c r="K283" s="10">
        <v>2700</v>
      </c>
      <c r="L283" s="10">
        <v>1800</v>
      </c>
      <c r="M283" s="10">
        <v>2100</v>
      </c>
      <c r="N283" s="10">
        <v>10.210000000000001</v>
      </c>
      <c r="O283" s="10">
        <v>200</v>
      </c>
      <c r="P283" s="10">
        <v>1</v>
      </c>
      <c r="Q283" s="10" t="s">
        <v>879</v>
      </c>
      <c r="R283" s="10" t="s">
        <v>880</v>
      </c>
      <c r="S283" s="10">
        <v>12200</v>
      </c>
      <c r="T283" s="10">
        <v>12000</v>
      </c>
      <c r="U283" s="14" t="s">
        <v>1402</v>
      </c>
    </row>
    <row r="284" spans="1:21" ht="15" x14ac:dyDescent="0.35">
      <c r="A284" s="9">
        <v>292</v>
      </c>
      <c r="B284" s="10" t="s">
        <v>881</v>
      </c>
      <c r="C284" s="10" t="s">
        <v>1</v>
      </c>
      <c r="D284" s="10" t="s">
        <v>784</v>
      </c>
      <c r="E284" s="10" t="s">
        <v>46</v>
      </c>
      <c r="F284" s="10" t="s">
        <v>16</v>
      </c>
      <c r="G284" s="10">
        <v>405</v>
      </c>
      <c r="H284" s="10">
        <v>1700</v>
      </c>
      <c r="I284" s="10" t="s">
        <v>17</v>
      </c>
      <c r="J284" s="10" t="s">
        <v>874</v>
      </c>
      <c r="K284" s="10">
        <v>3190</v>
      </c>
      <c r="L284" s="10">
        <v>2154</v>
      </c>
      <c r="M284" s="10">
        <v>2250</v>
      </c>
      <c r="N284" s="10">
        <v>15.46</v>
      </c>
      <c r="O284" s="10">
        <v>250</v>
      </c>
      <c r="P284" s="10">
        <v>1</v>
      </c>
      <c r="Q284" s="10" t="s">
        <v>875</v>
      </c>
      <c r="R284" s="10" t="s">
        <v>876</v>
      </c>
      <c r="S284" s="10">
        <v>12700</v>
      </c>
      <c r="T284" s="10">
        <v>12450</v>
      </c>
      <c r="U284" s="14" t="s">
        <v>1402</v>
      </c>
    </row>
    <row r="285" spans="1:21" ht="15" x14ac:dyDescent="0.35">
      <c r="A285" s="9">
        <v>293</v>
      </c>
      <c r="B285" s="10" t="s">
        <v>882</v>
      </c>
      <c r="C285" s="10" t="s">
        <v>1</v>
      </c>
      <c r="D285" s="10" t="s">
        <v>784</v>
      </c>
      <c r="E285" s="10" t="s">
        <v>883</v>
      </c>
      <c r="F285" s="10" t="s">
        <v>16</v>
      </c>
      <c r="G285" s="10">
        <v>710</v>
      </c>
      <c r="H285" s="10">
        <v>1540</v>
      </c>
      <c r="I285" s="10" t="s">
        <v>17</v>
      </c>
      <c r="J285" s="10" t="s">
        <v>884</v>
      </c>
      <c r="K285" s="10">
        <v>4200</v>
      </c>
      <c r="L285" s="10">
        <v>2615</v>
      </c>
      <c r="M285" s="10">
        <v>3042</v>
      </c>
      <c r="N285" s="10">
        <v>33.409999999999997</v>
      </c>
      <c r="O285" s="10">
        <v>240</v>
      </c>
      <c r="P285" s="10">
        <v>1</v>
      </c>
      <c r="Q285" s="10" t="s">
        <v>885</v>
      </c>
      <c r="R285" s="10" t="s">
        <v>886</v>
      </c>
      <c r="S285" s="10">
        <v>22638</v>
      </c>
      <c r="T285" s="10">
        <v>22398</v>
      </c>
      <c r="U285" s="14" t="s">
        <v>1402</v>
      </c>
    </row>
    <row r="286" spans="1:21" ht="15" x14ac:dyDescent="0.35">
      <c r="A286" s="9">
        <v>294</v>
      </c>
      <c r="B286" s="10" t="s">
        <v>887</v>
      </c>
      <c r="C286" s="10" t="s">
        <v>1</v>
      </c>
      <c r="D286" s="10" t="s">
        <v>784</v>
      </c>
      <c r="E286" s="10" t="s">
        <v>888</v>
      </c>
      <c r="F286" s="10" t="s">
        <v>41</v>
      </c>
      <c r="G286" s="10">
        <v>530</v>
      </c>
      <c r="H286" s="10">
        <v>1490</v>
      </c>
      <c r="I286" s="10" t="s">
        <v>17</v>
      </c>
      <c r="J286" s="10" t="s">
        <v>889</v>
      </c>
      <c r="K286" s="10">
        <v>2736</v>
      </c>
      <c r="L286" s="10">
        <v>2050</v>
      </c>
      <c r="M286" s="10">
        <v>2200</v>
      </c>
      <c r="N286" s="10">
        <v>12.34</v>
      </c>
      <c r="O286" s="10">
        <v>175</v>
      </c>
      <c r="P286" s="10">
        <v>1</v>
      </c>
      <c r="Q286" s="10" t="s">
        <v>890</v>
      </c>
      <c r="R286" s="10" t="s">
        <v>891</v>
      </c>
      <c r="S286" s="10">
        <v>10875</v>
      </c>
      <c r="T286" s="10">
        <v>10700</v>
      </c>
      <c r="U286" s="14" t="s">
        <v>1402</v>
      </c>
    </row>
    <row r="287" spans="1:21" ht="15" x14ac:dyDescent="0.35">
      <c r="A287" s="9">
        <v>296</v>
      </c>
      <c r="B287" s="10" t="s">
        <v>892</v>
      </c>
      <c r="C287" s="10" t="s">
        <v>1</v>
      </c>
      <c r="D287" s="10" t="s">
        <v>784</v>
      </c>
      <c r="E287" s="10" t="s">
        <v>221</v>
      </c>
      <c r="F287" s="10" t="s">
        <v>16</v>
      </c>
      <c r="G287" s="10">
        <v>710</v>
      </c>
      <c r="H287" s="10">
        <v>1540</v>
      </c>
      <c r="I287" s="10" t="s">
        <v>17</v>
      </c>
      <c r="J287" s="10" t="s">
        <v>893</v>
      </c>
      <c r="K287" s="10">
        <v>3070</v>
      </c>
      <c r="L287" s="10">
        <v>2615</v>
      </c>
      <c r="M287" s="10">
        <v>2856</v>
      </c>
      <c r="N287" s="10">
        <v>22.93</v>
      </c>
      <c r="O287" s="10">
        <v>185</v>
      </c>
      <c r="P287" s="10">
        <v>1</v>
      </c>
      <c r="Q287" s="10" t="s">
        <v>894</v>
      </c>
      <c r="R287" s="10" t="s">
        <v>895</v>
      </c>
      <c r="S287" s="10">
        <v>12831</v>
      </c>
      <c r="T287" s="10">
        <v>12646</v>
      </c>
      <c r="U287" s="14" t="s">
        <v>1402</v>
      </c>
    </row>
    <row r="288" spans="1:21" ht="15" x14ac:dyDescent="0.35">
      <c r="A288" s="9">
        <v>295</v>
      </c>
      <c r="B288" s="10" t="s">
        <v>896</v>
      </c>
      <c r="C288" s="10" t="s">
        <v>1</v>
      </c>
      <c r="D288" s="10" t="s">
        <v>784</v>
      </c>
      <c r="E288" s="10" t="s">
        <v>221</v>
      </c>
      <c r="F288" s="10" t="s">
        <v>16</v>
      </c>
      <c r="G288" s="10">
        <v>600</v>
      </c>
      <c r="H288" s="10">
        <v>1540</v>
      </c>
      <c r="I288" s="10" t="s">
        <v>39</v>
      </c>
      <c r="J288" s="10" t="s">
        <v>897</v>
      </c>
      <c r="K288" s="10">
        <v>3750</v>
      </c>
      <c r="L288" s="10">
        <v>2300</v>
      </c>
      <c r="M288" s="10">
        <v>2700</v>
      </c>
      <c r="N288" s="10">
        <v>23.29</v>
      </c>
      <c r="O288" s="10">
        <v>1150</v>
      </c>
      <c r="P288" s="10">
        <v>1</v>
      </c>
      <c r="Q288" s="10" t="s">
        <v>898</v>
      </c>
      <c r="R288" s="10" t="s">
        <v>899</v>
      </c>
      <c r="S288" s="10">
        <v>14650</v>
      </c>
      <c r="T288" s="10">
        <v>13500</v>
      </c>
      <c r="U288" s="14" t="s">
        <v>1402</v>
      </c>
    </row>
    <row r="289" spans="1:21" ht="15" x14ac:dyDescent="0.35">
      <c r="A289" s="9">
        <v>297</v>
      </c>
      <c r="B289" s="10" t="s">
        <v>900</v>
      </c>
      <c r="C289" s="10" t="s">
        <v>1</v>
      </c>
      <c r="D289" s="10" t="s">
        <v>784</v>
      </c>
      <c r="E289" s="10" t="s">
        <v>701</v>
      </c>
      <c r="F289" s="10" t="s">
        <v>16</v>
      </c>
      <c r="G289" s="10">
        <v>529</v>
      </c>
      <c r="H289" s="10">
        <v>1540</v>
      </c>
      <c r="I289" s="10" t="s">
        <v>17</v>
      </c>
      <c r="J289" s="10" t="s">
        <v>901</v>
      </c>
      <c r="K289" s="10">
        <v>3609</v>
      </c>
      <c r="L289" s="10">
        <v>2324</v>
      </c>
      <c r="M289" s="10">
        <v>2320</v>
      </c>
      <c r="N289" s="10">
        <v>19.46</v>
      </c>
      <c r="O289" s="10">
        <v>455</v>
      </c>
      <c r="P289" s="10">
        <v>1</v>
      </c>
      <c r="Q289" s="10" t="s">
        <v>902</v>
      </c>
      <c r="R289" s="10" t="s">
        <v>903</v>
      </c>
      <c r="S289" s="10">
        <v>13855</v>
      </c>
      <c r="T289" s="10">
        <v>13400</v>
      </c>
      <c r="U289" s="14" t="s">
        <v>1402</v>
      </c>
    </row>
    <row r="290" spans="1:21" ht="15" x14ac:dyDescent="0.35">
      <c r="A290" s="9">
        <v>298</v>
      </c>
      <c r="B290" s="10" t="s">
        <v>904</v>
      </c>
      <c r="C290" s="10" t="s">
        <v>1</v>
      </c>
      <c r="D290" s="10" t="s">
        <v>784</v>
      </c>
      <c r="E290" s="10" t="s">
        <v>905</v>
      </c>
      <c r="F290" s="10" t="s">
        <v>16</v>
      </c>
      <c r="G290" s="10">
        <v>475</v>
      </c>
      <c r="H290" s="10">
        <v>1440</v>
      </c>
      <c r="I290" s="10" t="s">
        <v>34</v>
      </c>
      <c r="J290" s="10" t="s">
        <v>805</v>
      </c>
      <c r="K290" s="10">
        <v>3625</v>
      </c>
      <c r="L290" s="10">
        <v>2254</v>
      </c>
      <c r="M290" s="10">
        <v>2790</v>
      </c>
      <c r="N290" s="10">
        <v>22.8</v>
      </c>
      <c r="O290" s="10">
        <v>341</v>
      </c>
      <c r="P290" s="10">
        <v>1</v>
      </c>
      <c r="Q290" s="10" t="s">
        <v>806</v>
      </c>
      <c r="R290" s="10" t="s">
        <v>807</v>
      </c>
      <c r="S290" s="10">
        <v>15491</v>
      </c>
      <c r="T290" s="10">
        <v>15150</v>
      </c>
      <c r="U290" s="14" t="s">
        <v>1402</v>
      </c>
    </row>
    <row r="291" spans="1:21" ht="15" x14ac:dyDescent="0.35">
      <c r="A291" s="9">
        <v>299</v>
      </c>
      <c r="B291" s="10" t="s">
        <v>906</v>
      </c>
      <c r="C291" s="10" t="s">
        <v>1</v>
      </c>
      <c r="D291" s="10" t="s">
        <v>784</v>
      </c>
      <c r="E291" s="10" t="s">
        <v>907</v>
      </c>
      <c r="F291" s="10" t="s">
        <v>16</v>
      </c>
      <c r="G291" s="10">
        <v>344</v>
      </c>
      <c r="H291" s="10">
        <v>1540</v>
      </c>
      <c r="I291" s="10" t="s">
        <v>24</v>
      </c>
      <c r="J291" s="10" t="s">
        <v>908</v>
      </c>
      <c r="K291" s="10">
        <v>3495</v>
      </c>
      <c r="L291" s="10">
        <v>2194</v>
      </c>
      <c r="M291" s="10">
        <v>2493</v>
      </c>
      <c r="N291" s="10">
        <v>19.12</v>
      </c>
      <c r="O291" s="10">
        <v>297</v>
      </c>
      <c r="P291" s="10">
        <v>1</v>
      </c>
      <c r="Q291" s="10" t="s">
        <v>909</v>
      </c>
      <c r="R291" s="10" t="s">
        <v>910</v>
      </c>
      <c r="S291" s="10">
        <v>12597</v>
      </c>
      <c r="T291" s="10">
        <v>12300</v>
      </c>
      <c r="U291" s="14" t="s">
        <v>1402</v>
      </c>
    </row>
    <row r="292" spans="1:21" ht="15" x14ac:dyDescent="0.35">
      <c r="A292" s="9">
        <v>300</v>
      </c>
      <c r="B292" s="10" t="s">
        <v>911</v>
      </c>
      <c r="C292" s="10" t="s">
        <v>1</v>
      </c>
      <c r="D292" s="10" t="s">
        <v>784</v>
      </c>
      <c r="E292" s="10" t="s">
        <v>241</v>
      </c>
      <c r="F292" s="10" t="s">
        <v>16</v>
      </c>
      <c r="G292" s="10">
        <v>475</v>
      </c>
      <c r="H292" s="10">
        <v>1600</v>
      </c>
      <c r="I292" s="10" t="s">
        <v>24</v>
      </c>
      <c r="J292" s="10" t="s">
        <v>912</v>
      </c>
      <c r="K292" s="10">
        <v>3570</v>
      </c>
      <c r="L292" s="10">
        <v>2450</v>
      </c>
      <c r="M292" s="10">
        <v>2400</v>
      </c>
      <c r="N292" s="10">
        <v>20.99</v>
      </c>
      <c r="O292" s="10">
        <v>400</v>
      </c>
      <c r="P292" s="10">
        <v>1</v>
      </c>
      <c r="Q292" s="10" t="s">
        <v>913</v>
      </c>
      <c r="R292" s="10" t="s">
        <v>914</v>
      </c>
      <c r="S292" s="10">
        <v>14450</v>
      </c>
      <c r="T292" s="10">
        <v>14050</v>
      </c>
      <c r="U292" s="14" t="s">
        <v>1402</v>
      </c>
    </row>
    <row r="293" spans="1:21" ht="15" x14ac:dyDescent="0.35">
      <c r="A293" s="9">
        <v>301</v>
      </c>
      <c r="B293" s="10" t="s">
        <v>915</v>
      </c>
      <c r="C293" s="10" t="s">
        <v>1</v>
      </c>
      <c r="D293" s="10" t="s">
        <v>784</v>
      </c>
      <c r="E293" s="10" t="s">
        <v>241</v>
      </c>
      <c r="F293" s="10" t="s">
        <v>16</v>
      </c>
      <c r="G293" s="10">
        <v>510</v>
      </c>
      <c r="H293" s="10">
        <v>1540</v>
      </c>
      <c r="I293" s="10" t="s">
        <v>24</v>
      </c>
      <c r="J293" s="10" t="s">
        <v>916</v>
      </c>
      <c r="K293" s="10">
        <v>3595</v>
      </c>
      <c r="L293" s="10">
        <v>2194</v>
      </c>
      <c r="M293" s="10">
        <v>2561</v>
      </c>
      <c r="N293" s="10">
        <v>20.2</v>
      </c>
      <c r="O293" s="10">
        <v>240</v>
      </c>
      <c r="P293" s="10">
        <v>1</v>
      </c>
      <c r="Q293" s="10" t="s">
        <v>917</v>
      </c>
      <c r="R293" s="10" t="s">
        <v>864</v>
      </c>
      <c r="S293" s="10">
        <v>14640</v>
      </c>
      <c r="T293" s="10">
        <v>14400</v>
      </c>
      <c r="U293" s="14" t="s">
        <v>1402</v>
      </c>
    </row>
    <row r="294" spans="1:21" ht="15" x14ac:dyDescent="0.35">
      <c r="A294" s="9">
        <v>302</v>
      </c>
      <c r="B294" s="10" t="s">
        <v>918</v>
      </c>
      <c r="C294" s="10" t="s">
        <v>1</v>
      </c>
      <c r="D294" s="10" t="s">
        <v>784</v>
      </c>
      <c r="E294" s="10" t="s">
        <v>73</v>
      </c>
      <c r="F294" s="10" t="s">
        <v>16</v>
      </c>
      <c r="G294" s="10">
        <v>250</v>
      </c>
      <c r="H294" s="10">
        <v>1850</v>
      </c>
      <c r="I294" s="10" t="s">
        <v>17</v>
      </c>
      <c r="J294" s="10" t="s">
        <v>919</v>
      </c>
      <c r="K294" s="10">
        <v>3110</v>
      </c>
      <c r="L294" s="10">
        <v>2304</v>
      </c>
      <c r="M294" s="10">
        <v>2142</v>
      </c>
      <c r="N294" s="10">
        <v>15.35</v>
      </c>
      <c r="O294" s="10">
        <v>333</v>
      </c>
      <c r="P294" s="10">
        <v>1</v>
      </c>
      <c r="Q294" s="10" t="s">
        <v>920</v>
      </c>
      <c r="R294" s="10" t="s">
        <v>921</v>
      </c>
      <c r="S294" s="10">
        <v>13753</v>
      </c>
      <c r="T294" s="10">
        <v>13420</v>
      </c>
      <c r="U294" s="14" t="s">
        <v>1402</v>
      </c>
    </row>
    <row r="295" spans="1:21" ht="15" x14ac:dyDescent="0.35">
      <c r="A295" s="9">
        <v>303</v>
      </c>
      <c r="B295" s="10" t="s">
        <v>922</v>
      </c>
      <c r="C295" s="10" t="s">
        <v>1</v>
      </c>
      <c r="D295" s="10" t="s">
        <v>784</v>
      </c>
      <c r="E295" s="10" t="s">
        <v>73</v>
      </c>
      <c r="F295" s="10" t="s">
        <v>16</v>
      </c>
      <c r="G295" s="10">
        <v>530</v>
      </c>
      <c r="H295" s="10">
        <v>1650</v>
      </c>
      <c r="I295" s="10" t="s">
        <v>24</v>
      </c>
      <c r="J295" s="10" t="s">
        <v>923</v>
      </c>
      <c r="K295" s="10">
        <v>3817</v>
      </c>
      <c r="L295" s="10">
        <v>2500</v>
      </c>
      <c r="M295" s="10">
        <v>2620</v>
      </c>
      <c r="N295" s="10">
        <v>25.01</v>
      </c>
      <c r="O295" s="10">
        <v>340</v>
      </c>
      <c r="P295" s="10">
        <v>1</v>
      </c>
      <c r="Q295" s="10" t="s">
        <v>924</v>
      </c>
      <c r="R295" s="10" t="s">
        <v>925</v>
      </c>
      <c r="S295" s="10">
        <v>18040</v>
      </c>
      <c r="T295" s="10">
        <v>17700</v>
      </c>
      <c r="U295" s="14" t="s">
        <v>1402</v>
      </c>
    </row>
    <row r="296" spans="1:21" ht="15" x14ac:dyDescent="0.35">
      <c r="A296" s="9">
        <v>304</v>
      </c>
      <c r="B296" s="10" t="s">
        <v>926</v>
      </c>
      <c r="C296" s="10" t="s">
        <v>1</v>
      </c>
      <c r="D296" s="10" t="s">
        <v>784</v>
      </c>
      <c r="E296" s="10" t="s">
        <v>927</v>
      </c>
      <c r="F296" s="10" t="s">
        <v>16</v>
      </c>
      <c r="G296" s="10">
        <v>344</v>
      </c>
      <c r="H296" s="10">
        <v>1620</v>
      </c>
      <c r="I296" s="10" t="s">
        <v>17</v>
      </c>
      <c r="J296" s="10" t="s">
        <v>928</v>
      </c>
      <c r="K296" s="10">
        <v>3606</v>
      </c>
      <c r="L296" s="10">
        <v>2045</v>
      </c>
      <c r="M296" s="10">
        <v>2525</v>
      </c>
      <c r="N296" s="10">
        <v>18.62</v>
      </c>
      <c r="O296" s="10">
        <v>455</v>
      </c>
      <c r="P296" s="10">
        <v>1</v>
      </c>
      <c r="Q296" s="10" t="s">
        <v>929</v>
      </c>
      <c r="R296" s="10" t="s">
        <v>930</v>
      </c>
      <c r="S296" s="10">
        <v>15175</v>
      </c>
      <c r="T296" s="10">
        <v>14720</v>
      </c>
      <c r="U296" s="14" t="s">
        <v>1402</v>
      </c>
    </row>
    <row r="297" spans="1:21" ht="15" x14ac:dyDescent="0.35">
      <c r="A297" s="9">
        <v>305</v>
      </c>
      <c r="B297" s="10" t="s">
        <v>931</v>
      </c>
      <c r="C297" s="10" t="s">
        <v>1</v>
      </c>
      <c r="D297" s="10" t="s">
        <v>784</v>
      </c>
      <c r="E297" s="10" t="s">
        <v>742</v>
      </c>
      <c r="F297" s="10" t="s">
        <v>16</v>
      </c>
      <c r="G297" s="10">
        <v>310</v>
      </c>
      <c r="H297" s="10">
        <v>1620</v>
      </c>
      <c r="I297" s="10" t="s">
        <v>17</v>
      </c>
      <c r="J297" s="10" t="s">
        <v>932</v>
      </c>
      <c r="K297" s="10">
        <v>3390</v>
      </c>
      <c r="L297" s="10">
        <v>2074</v>
      </c>
      <c r="M297" s="10">
        <v>2132</v>
      </c>
      <c r="N297" s="10">
        <v>14.99</v>
      </c>
      <c r="O297" s="10">
        <v>310</v>
      </c>
      <c r="P297" s="10">
        <v>1</v>
      </c>
      <c r="Q297" s="10" t="s">
        <v>933</v>
      </c>
      <c r="R297" s="10" t="s">
        <v>934</v>
      </c>
      <c r="S297" s="10">
        <v>13700</v>
      </c>
      <c r="T297" s="10">
        <v>13390</v>
      </c>
      <c r="U297" s="14" t="s">
        <v>1402</v>
      </c>
    </row>
    <row r="298" spans="1:21" ht="15" x14ac:dyDescent="0.35">
      <c r="A298" s="9">
        <v>306</v>
      </c>
      <c r="B298" s="10" t="s">
        <v>935</v>
      </c>
      <c r="C298" s="10" t="s">
        <v>936</v>
      </c>
      <c r="D298" s="10" t="s">
        <v>937</v>
      </c>
      <c r="E298" s="10" t="s">
        <v>938</v>
      </c>
      <c r="F298" s="10" t="s">
        <v>16</v>
      </c>
      <c r="G298" s="10">
        <v>1000</v>
      </c>
      <c r="H298" s="10">
        <v>1950</v>
      </c>
      <c r="I298" s="10" t="s">
        <v>34</v>
      </c>
      <c r="J298" s="10" t="s">
        <v>939</v>
      </c>
      <c r="K298" s="10">
        <v>4300</v>
      </c>
      <c r="L298" s="10">
        <v>2495</v>
      </c>
      <c r="M298" s="10">
        <v>3500</v>
      </c>
      <c r="N298" s="10">
        <v>37.549999999999997</v>
      </c>
      <c r="O298" s="10">
        <v>285</v>
      </c>
      <c r="P298" s="10">
        <v>1</v>
      </c>
      <c r="Q298" s="10" t="s">
        <v>940</v>
      </c>
      <c r="R298" s="10" t="s">
        <v>941</v>
      </c>
      <c r="S298" s="10">
        <v>26845</v>
      </c>
      <c r="T298" s="10">
        <v>26560</v>
      </c>
      <c r="U298" s="14" t="s">
        <v>1402</v>
      </c>
    </row>
    <row r="299" spans="1:21" ht="15" x14ac:dyDescent="0.35">
      <c r="A299" s="9">
        <v>307</v>
      </c>
      <c r="B299" s="10" t="s">
        <v>942</v>
      </c>
      <c r="C299" s="10" t="s">
        <v>936</v>
      </c>
      <c r="D299" s="10" t="s">
        <v>937</v>
      </c>
      <c r="E299" s="10" t="s">
        <v>938</v>
      </c>
      <c r="F299" s="10" t="s">
        <v>16</v>
      </c>
      <c r="G299" s="10">
        <v>1080</v>
      </c>
      <c r="H299" s="10">
        <v>1920</v>
      </c>
      <c r="I299" s="10" t="s">
        <v>39</v>
      </c>
      <c r="J299" s="10" t="s">
        <v>943</v>
      </c>
      <c r="K299" s="10">
        <v>4500</v>
      </c>
      <c r="L299" s="10">
        <v>2900</v>
      </c>
      <c r="M299" s="10">
        <v>3750</v>
      </c>
      <c r="N299" s="10">
        <v>48.94</v>
      </c>
      <c r="O299" s="10">
        <v>410</v>
      </c>
      <c r="P299" s="10">
        <v>1</v>
      </c>
      <c r="Q299" s="10" t="s">
        <v>944</v>
      </c>
      <c r="R299" s="10" t="s">
        <v>945</v>
      </c>
      <c r="S299" s="10">
        <v>32510</v>
      </c>
      <c r="T299" s="10">
        <v>32100</v>
      </c>
      <c r="U299" s="14" t="s">
        <v>1402</v>
      </c>
    </row>
    <row r="300" spans="1:21" ht="15" x14ac:dyDescent="0.35">
      <c r="A300" s="9">
        <v>308</v>
      </c>
      <c r="B300" s="10" t="s">
        <v>946</v>
      </c>
      <c r="C300" s="10" t="s">
        <v>936</v>
      </c>
      <c r="D300" s="10" t="s">
        <v>937</v>
      </c>
      <c r="E300" s="10" t="s">
        <v>947</v>
      </c>
      <c r="F300" s="10" t="s">
        <v>16</v>
      </c>
      <c r="G300" s="10">
        <v>1000</v>
      </c>
      <c r="H300" s="10">
        <v>1950</v>
      </c>
      <c r="I300" s="10" t="s">
        <v>34</v>
      </c>
      <c r="J300" s="10" t="s">
        <v>948</v>
      </c>
      <c r="K300" s="10">
        <v>4675</v>
      </c>
      <c r="L300" s="10">
        <v>2700</v>
      </c>
      <c r="M300" s="10">
        <v>3850</v>
      </c>
      <c r="N300" s="10">
        <v>48.6</v>
      </c>
      <c r="O300" s="10">
        <v>1150</v>
      </c>
      <c r="P300" s="10">
        <v>1</v>
      </c>
      <c r="Q300" s="10" t="s">
        <v>949</v>
      </c>
      <c r="R300" s="10" t="s">
        <v>950</v>
      </c>
      <c r="S300" s="10">
        <v>33890</v>
      </c>
      <c r="T300" s="10">
        <v>32740</v>
      </c>
      <c r="U300" s="14" t="s">
        <v>1402</v>
      </c>
    </row>
    <row r="301" spans="1:21" ht="15" x14ac:dyDescent="0.35">
      <c r="A301" s="9">
        <v>309</v>
      </c>
      <c r="B301" s="10" t="s">
        <v>951</v>
      </c>
      <c r="C301" s="10" t="s">
        <v>936</v>
      </c>
      <c r="D301" s="10" t="s">
        <v>937</v>
      </c>
      <c r="E301" s="10" t="s">
        <v>952</v>
      </c>
      <c r="F301" s="10" t="s">
        <v>16</v>
      </c>
      <c r="G301" s="10">
        <v>1000</v>
      </c>
      <c r="H301" s="10">
        <v>1850</v>
      </c>
      <c r="I301" s="10" t="s">
        <v>17</v>
      </c>
      <c r="J301" s="10" t="s">
        <v>953</v>
      </c>
      <c r="K301" s="10">
        <v>4340</v>
      </c>
      <c r="L301" s="10">
        <v>2290</v>
      </c>
      <c r="M301" s="10">
        <v>2716</v>
      </c>
      <c r="N301" s="10">
        <v>26.99</v>
      </c>
      <c r="O301" s="10">
        <v>267</v>
      </c>
      <c r="P301" s="10">
        <v>1</v>
      </c>
      <c r="Q301" s="10" t="s">
        <v>954</v>
      </c>
      <c r="R301" s="10" t="s">
        <v>955</v>
      </c>
      <c r="S301" s="10">
        <v>30917</v>
      </c>
      <c r="T301" s="10">
        <v>30650</v>
      </c>
      <c r="U301" s="14" t="s">
        <v>1402</v>
      </c>
    </row>
    <row r="302" spans="1:21" ht="15" x14ac:dyDescent="0.35">
      <c r="A302" s="9">
        <v>310</v>
      </c>
      <c r="B302" s="10" t="s">
        <v>956</v>
      </c>
      <c r="C302" s="10" t="s">
        <v>936</v>
      </c>
      <c r="D302" s="10" t="s">
        <v>937</v>
      </c>
      <c r="E302" s="10" t="s">
        <v>957</v>
      </c>
      <c r="F302" s="10" t="s">
        <v>16</v>
      </c>
      <c r="G302" s="10">
        <v>600</v>
      </c>
      <c r="H302" s="10">
        <v>1950</v>
      </c>
      <c r="I302" s="10" t="s">
        <v>24</v>
      </c>
      <c r="J302" s="10" t="s">
        <v>958</v>
      </c>
      <c r="K302" s="10">
        <v>3970</v>
      </c>
      <c r="L302" s="10">
        <v>2945</v>
      </c>
      <c r="M302" s="10">
        <v>3166</v>
      </c>
      <c r="N302" s="10">
        <v>37.020000000000003</v>
      </c>
      <c r="O302" s="10">
        <v>410</v>
      </c>
      <c r="P302" s="10">
        <v>1</v>
      </c>
      <c r="Q302" s="10" t="s">
        <v>959</v>
      </c>
      <c r="R302" s="10" t="s">
        <v>960</v>
      </c>
      <c r="S302" s="10">
        <v>20710</v>
      </c>
      <c r="T302" s="10">
        <v>20300</v>
      </c>
      <c r="U302" s="14" t="s">
        <v>1402</v>
      </c>
    </row>
    <row r="303" spans="1:21" ht="15" x14ac:dyDescent="0.35">
      <c r="A303" s="9">
        <v>311</v>
      </c>
      <c r="B303" s="10" t="s">
        <v>961</v>
      </c>
      <c r="C303" s="10" t="s">
        <v>936</v>
      </c>
      <c r="D303" s="10" t="s">
        <v>937</v>
      </c>
      <c r="E303" s="10" t="s">
        <v>888</v>
      </c>
      <c r="F303" s="10" t="s">
        <v>16</v>
      </c>
      <c r="G303" s="10">
        <v>475</v>
      </c>
      <c r="H303" s="10">
        <v>2200</v>
      </c>
      <c r="I303" s="10" t="s">
        <v>24</v>
      </c>
      <c r="J303" s="10" t="s">
        <v>962</v>
      </c>
      <c r="K303" s="10">
        <v>4010</v>
      </c>
      <c r="L303" s="10">
        <v>2500</v>
      </c>
      <c r="M303" s="10">
        <v>3200</v>
      </c>
      <c r="N303" s="10">
        <v>32.08</v>
      </c>
      <c r="O303" s="10">
        <v>400</v>
      </c>
      <c r="P303" s="10">
        <v>1</v>
      </c>
      <c r="Q303" s="10" t="s">
        <v>963</v>
      </c>
      <c r="R303" s="10" t="s">
        <v>964</v>
      </c>
      <c r="S303" s="10">
        <v>22400</v>
      </c>
      <c r="T303" s="10">
        <v>22000</v>
      </c>
      <c r="U303" s="14" t="s">
        <v>1402</v>
      </c>
    </row>
    <row r="304" spans="1:21" ht="15" x14ac:dyDescent="0.35">
      <c r="A304" s="9">
        <v>312</v>
      </c>
      <c r="B304" s="10" t="s">
        <v>965</v>
      </c>
      <c r="C304" s="10" t="s">
        <v>936</v>
      </c>
      <c r="D304" s="10" t="s">
        <v>937</v>
      </c>
      <c r="E304" s="10" t="s">
        <v>266</v>
      </c>
      <c r="F304" s="10" t="s">
        <v>16</v>
      </c>
      <c r="G304" s="10">
        <v>600</v>
      </c>
      <c r="H304" s="10">
        <v>1950</v>
      </c>
      <c r="I304" s="10" t="s">
        <v>24</v>
      </c>
      <c r="J304" s="10" t="s">
        <v>966</v>
      </c>
      <c r="K304" s="10">
        <v>4150</v>
      </c>
      <c r="L304" s="10">
        <v>2764</v>
      </c>
      <c r="M304" s="10">
        <v>3100</v>
      </c>
      <c r="N304" s="10">
        <v>35.56</v>
      </c>
      <c r="O304" s="10">
        <v>340</v>
      </c>
      <c r="P304" s="10">
        <v>1</v>
      </c>
      <c r="Q304" s="10" t="s">
        <v>967</v>
      </c>
      <c r="R304" s="10" t="s">
        <v>968</v>
      </c>
      <c r="S304" s="10">
        <v>24730</v>
      </c>
      <c r="T304" s="10">
        <v>24390</v>
      </c>
      <c r="U304" s="14" t="s">
        <v>1402</v>
      </c>
    </row>
    <row r="305" spans="1:21" ht="15" x14ac:dyDescent="0.35">
      <c r="A305" s="9">
        <v>313</v>
      </c>
      <c r="B305" s="10" t="s">
        <v>969</v>
      </c>
      <c r="C305" s="10" t="s">
        <v>936</v>
      </c>
      <c r="D305" s="10" t="s">
        <v>937</v>
      </c>
      <c r="E305" s="10" t="s">
        <v>271</v>
      </c>
      <c r="F305" s="10" t="s">
        <v>16</v>
      </c>
      <c r="G305" s="10">
        <v>600</v>
      </c>
      <c r="H305" s="10">
        <v>1950</v>
      </c>
      <c r="I305" s="10" t="s">
        <v>17</v>
      </c>
      <c r="J305" s="10" t="s">
        <v>970</v>
      </c>
      <c r="K305" s="10">
        <v>4350</v>
      </c>
      <c r="L305" s="10">
        <v>2394</v>
      </c>
      <c r="M305" s="10">
        <v>2630</v>
      </c>
      <c r="N305" s="10">
        <v>27.39</v>
      </c>
      <c r="O305" s="10">
        <v>400</v>
      </c>
      <c r="P305" s="10">
        <v>1</v>
      </c>
      <c r="Q305" s="10" t="s">
        <v>971</v>
      </c>
      <c r="R305" s="10" t="s">
        <v>972</v>
      </c>
      <c r="S305" s="10">
        <v>24050</v>
      </c>
      <c r="T305" s="10">
        <v>23650</v>
      </c>
      <c r="U305" s="14" t="s">
        <v>1402</v>
      </c>
    </row>
    <row r="306" spans="1:21" ht="15" x14ac:dyDescent="0.35">
      <c r="A306" s="9">
        <v>314</v>
      </c>
      <c r="B306" s="10" t="s">
        <v>973</v>
      </c>
      <c r="C306" s="10" t="s">
        <v>936</v>
      </c>
      <c r="D306" s="10" t="s">
        <v>937</v>
      </c>
      <c r="E306" s="10" t="s">
        <v>974</v>
      </c>
      <c r="F306" s="10" t="s">
        <v>16</v>
      </c>
      <c r="G306" s="10">
        <v>665</v>
      </c>
      <c r="H306" s="10">
        <v>2100</v>
      </c>
      <c r="I306" s="10" t="s">
        <v>17</v>
      </c>
      <c r="J306" s="10" t="s">
        <v>975</v>
      </c>
      <c r="K306" s="10">
        <v>4410</v>
      </c>
      <c r="L306" s="10">
        <v>2440</v>
      </c>
      <c r="M306" s="10">
        <v>2670</v>
      </c>
      <c r="N306" s="10">
        <v>28.73</v>
      </c>
      <c r="O306" s="10">
        <v>330</v>
      </c>
      <c r="P306" s="10">
        <v>1</v>
      </c>
      <c r="Q306" s="10" t="s">
        <v>976</v>
      </c>
      <c r="R306" s="10" t="s">
        <v>977</v>
      </c>
      <c r="S306" s="10">
        <v>25400</v>
      </c>
      <c r="T306" s="10">
        <v>25070</v>
      </c>
      <c r="U306" s="14" t="s">
        <v>1402</v>
      </c>
    </row>
    <row r="307" spans="1:21" ht="15" x14ac:dyDescent="0.35">
      <c r="A307" s="9">
        <v>318</v>
      </c>
      <c r="B307" s="49"/>
      <c r="C307" s="49" t="s">
        <v>978</v>
      </c>
      <c r="D307" s="49" t="s">
        <v>978</v>
      </c>
      <c r="E307" s="10">
        <v>1401</v>
      </c>
      <c r="F307" s="10" t="s">
        <v>90</v>
      </c>
      <c r="I307" s="10" t="s">
        <v>11</v>
      </c>
      <c r="J307" s="10" t="s">
        <v>979</v>
      </c>
      <c r="K307" s="10">
        <v>1730</v>
      </c>
      <c r="L307" s="10">
        <v>1279</v>
      </c>
      <c r="M307" s="10">
        <v>1155</v>
      </c>
      <c r="O307" s="10">
        <v>69</v>
      </c>
      <c r="P307" s="10">
        <v>1</v>
      </c>
      <c r="Q307" s="10" t="s">
        <v>980</v>
      </c>
      <c r="R307" s="10" t="s">
        <v>1454</v>
      </c>
      <c r="S307" s="50"/>
      <c r="U307" s="14" t="s">
        <v>1402</v>
      </c>
    </row>
    <row r="308" spans="1:21" ht="15" x14ac:dyDescent="0.35">
      <c r="A308" s="9">
        <v>319</v>
      </c>
      <c r="B308" s="49"/>
      <c r="C308" s="49" t="s">
        <v>978</v>
      </c>
      <c r="D308" s="49" t="s">
        <v>978</v>
      </c>
      <c r="E308" s="10">
        <v>1401</v>
      </c>
      <c r="F308" s="10" t="s">
        <v>77</v>
      </c>
      <c r="I308" s="10" t="s">
        <v>11</v>
      </c>
      <c r="J308" s="10" t="s">
        <v>981</v>
      </c>
      <c r="K308" s="10">
        <v>1630</v>
      </c>
      <c r="L308" s="10">
        <v>1279</v>
      </c>
      <c r="M308" s="10">
        <v>1155</v>
      </c>
      <c r="O308" s="10">
        <v>64</v>
      </c>
      <c r="P308" s="10">
        <v>1</v>
      </c>
      <c r="Q308" s="10" t="s">
        <v>982</v>
      </c>
      <c r="R308" s="10" t="s">
        <v>1455</v>
      </c>
      <c r="S308" s="50"/>
      <c r="U308" s="14" t="s">
        <v>1402</v>
      </c>
    </row>
    <row r="309" spans="1:21" ht="15" x14ac:dyDescent="0.35">
      <c r="A309" s="9">
        <v>320</v>
      </c>
      <c r="B309" s="49"/>
      <c r="C309" s="49" t="s">
        <v>978</v>
      </c>
      <c r="D309" s="49" t="s">
        <v>978</v>
      </c>
      <c r="E309" s="10">
        <v>1402</v>
      </c>
      <c r="F309" s="10" t="s">
        <v>90</v>
      </c>
      <c r="I309" s="10" t="s">
        <v>11</v>
      </c>
      <c r="J309" s="10" t="s">
        <v>979</v>
      </c>
      <c r="K309" s="10">
        <v>1730</v>
      </c>
      <c r="L309" s="10">
        <v>1279</v>
      </c>
      <c r="M309" s="10">
        <v>1155</v>
      </c>
      <c r="O309" s="10">
        <v>69</v>
      </c>
      <c r="P309" s="10">
        <v>1</v>
      </c>
      <c r="Q309" s="10" t="s">
        <v>980</v>
      </c>
      <c r="R309" s="10" t="s">
        <v>1454</v>
      </c>
      <c r="S309" s="50"/>
      <c r="U309" s="14" t="s">
        <v>1402</v>
      </c>
    </row>
    <row r="310" spans="1:21" ht="15" x14ac:dyDescent="0.35">
      <c r="A310" s="9">
        <v>321</v>
      </c>
      <c r="B310" s="49"/>
      <c r="C310" s="49" t="s">
        <v>978</v>
      </c>
      <c r="D310" s="49" t="s">
        <v>978</v>
      </c>
      <c r="E310" s="10">
        <v>1402</v>
      </c>
      <c r="F310" s="10" t="s">
        <v>77</v>
      </c>
      <c r="I310" s="10" t="s">
        <v>11</v>
      </c>
      <c r="J310" s="10" t="s">
        <v>981</v>
      </c>
      <c r="K310" s="10">
        <v>1630</v>
      </c>
      <c r="L310" s="10">
        <v>1279</v>
      </c>
      <c r="M310" s="10">
        <v>1155</v>
      </c>
      <c r="O310" s="10">
        <v>64</v>
      </c>
      <c r="P310" s="10">
        <v>1</v>
      </c>
      <c r="Q310" s="10" t="s">
        <v>982</v>
      </c>
      <c r="R310" s="10" t="s">
        <v>1455</v>
      </c>
      <c r="S310" s="50"/>
      <c r="U310" s="14" t="s">
        <v>1402</v>
      </c>
    </row>
    <row r="311" spans="1:21" ht="15" x14ac:dyDescent="0.35">
      <c r="A311" s="9">
        <v>322</v>
      </c>
      <c r="B311" s="49"/>
      <c r="C311" s="49" t="s">
        <v>978</v>
      </c>
      <c r="D311" s="49" t="s">
        <v>978</v>
      </c>
      <c r="E311" s="10">
        <v>1422</v>
      </c>
      <c r="F311" s="10" t="s">
        <v>90</v>
      </c>
      <c r="I311" s="10" t="s">
        <v>11</v>
      </c>
      <c r="J311" s="10" t="s">
        <v>983</v>
      </c>
      <c r="K311" s="10">
        <v>1830</v>
      </c>
      <c r="L311" s="10">
        <v>1279</v>
      </c>
      <c r="M311" s="10">
        <v>1155</v>
      </c>
      <c r="O311" s="10">
        <v>71</v>
      </c>
      <c r="P311" s="10">
        <v>1</v>
      </c>
      <c r="Q311" s="10" t="s">
        <v>984</v>
      </c>
      <c r="R311" s="10" t="s">
        <v>1456</v>
      </c>
      <c r="S311" s="50"/>
      <c r="U311" s="14" t="s">
        <v>1402</v>
      </c>
    </row>
    <row r="312" spans="1:21" ht="15" x14ac:dyDescent="0.35">
      <c r="A312" s="9">
        <v>323</v>
      </c>
      <c r="B312" s="49"/>
      <c r="C312" s="49" t="s">
        <v>978</v>
      </c>
      <c r="D312" s="49" t="s">
        <v>978</v>
      </c>
      <c r="E312" s="10">
        <v>1422</v>
      </c>
      <c r="F312" s="10" t="s">
        <v>77</v>
      </c>
      <c r="I312" s="10" t="s">
        <v>11</v>
      </c>
      <c r="J312" s="10" t="s">
        <v>979</v>
      </c>
      <c r="K312" s="10">
        <v>1730</v>
      </c>
      <c r="L312" s="10">
        <v>1279</v>
      </c>
      <c r="M312" s="10">
        <v>1155</v>
      </c>
      <c r="O312" s="10">
        <v>69</v>
      </c>
      <c r="P312" s="10">
        <v>1</v>
      </c>
      <c r="Q312" s="10" t="s">
        <v>985</v>
      </c>
      <c r="R312" s="10" t="s">
        <v>1457</v>
      </c>
      <c r="S312" s="50"/>
      <c r="U312" s="14" t="s">
        <v>1402</v>
      </c>
    </row>
    <row r="313" spans="1:21" ht="15" x14ac:dyDescent="0.35">
      <c r="A313" s="9">
        <v>324</v>
      </c>
      <c r="B313" s="49"/>
      <c r="C313" s="49" t="s">
        <v>978</v>
      </c>
      <c r="D313" s="49" t="s">
        <v>978</v>
      </c>
      <c r="E313" s="10">
        <v>1423</v>
      </c>
      <c r="F313" s="10" t="s">
        <v>90</v>
      </c>
      <c r="I313" s="10" t="s">
        <v>11</v>
      </c>
      <c r="J313" s="10" t="s">
        <v>983</v>
      </c>
      <c r="K313" s="10">
        <v>1830</v>
      </c>
      <c r="L313" s="10">
        <v>1279</v>
      </c>
      <c r="M313" s="10">
        <v>1155</v>
      </c>
      <c r="O313" s="10">
        <v>71</v>
      </c>
      <c r="P313" s="10">
        <v>1</v>
      </c>
      <c r="Q313" s="10" t="s">
        <v>984</v>
      </c>
      <c r="R313" s="10" t="s">
        <v>1456</v>
      </c>
      <c r="S313" s="50"/>
      <c r="U313" s="14" t="s">
        <v>1402</v>
      </c>
    </row>
    <row r="314" spans="1:21" ht="15" x14ac:dyDescent="0.35">
      <c r="A314" s="9">
        <v>325</v>
      </c>
      <c r="B314" s="49"/>
      <c r="C314" s="49" t="s">
        <v>978</v>
      </c>
      <c r="D314" s="49" t="s">
        <v>978</v>
      </c>
      <c r="E314" s="10">
        <v>1423</v>
      </c>
      <c r="F314" s="10" t="s">
        <v>77</v>
      </c>
      <c r="I314" s="10" t="s">
        <v>11</v>
      </c>
      <c r="J314" s="10" t="s">
        <v>979</v>
      </c>
      <c r="K314" s="10">
        <v>1730</v>
      </c>
      <c r="L314" s="10">
        <v>1279</v>
      </c>
      <c r="M314" s="10">
        <v>1155</v>
      </c>
      <c r="O314" s="10">
        <v>69</v>
      </c>
      <c r="P314" s="10">
        <v>1</v>
      </c>
      <c r="Q314" s="10" t="s">
        <v>985</v>
      </c>
      <c r="R314" s="10" t="s">
        <v>1457</v>
      </c>
      <c r="S314" s="50"/>
      <c r="U314" s="14" t="s">
        <v>1402</v>
      </c>
    </row>
    <row r="315" spans="1:21" ht="15" x14ac:dyDescent="0.35">
      <c r="A315" s="9">
        <v>326</v>
      </c>
      <c r="B315" s="49"/>
      <c r="C315" s="49" t="s">
        <v>978</v>
      </c>
      <c r="D315" s="49" t="s">
        <v>978</v>
      </c>
      <c r="E315" s="10">
        <v>1424</v>
      </c>
      <c r="F315" s="10" t="s">
        <v>90</v>
      </c>
      <c r="I315" s="10" t="s">
        <v>11</v>
      </c>
      <c r="J315" s="10" t="s">
        <v>979</v>
      </c>
      <c r="K315" s="10">
        <v>1730</v>
      </c>
      <c r="L315" s="10">
        <v>1279</v>
      </c>
      <c r="M315" s="10">
        <v>1155</v>
      </c>
      <c r="N315" s="10">
        <v>2.56</v>
      </c>
      <c r="O315" s="10">
        <v>71</v>
      </c>
      <c r="P315" s="10">
        <v>1</v>
      </c>
      <c r="Q315" s="10" t="s">
        <v>984</v>
      </c>
      <c r="R315" s="10" t="s">
        <v>1456</v>
      </c>
      <c r="S315" s="10">
        <v>2469</v>
      </c>
      <c r="T315" s="10">
        <f>S315-O315</f>
        <v>2398</v>
      </c>
      <c r="U315" s="14" t="s">
        <v>1402</v>
      </c>
    </row>
    <row r="316" spans="1:21" ht="15" x14ac:dyDescent="0.35">
      <c r="A316" s="9">
        <v>327</v>
      </c>
      <c r="B316" s="49"/>
      <c r="C316" s="49" t="s">
        <v>978</v>
      </c>
      <c r="D316" s="49" t="s">
        <v>978</v>
      </c>
      <c r="E316" s="10">
        <v>1424</v>
      </c>
      <c r="F316" s="10" t="s">
        <v>90</v>
      </c>
      <c r="I316" s="10" t="s">
        <v>11</v>
      </c>
      <c r="J316" s="10" t="s">
        <v>983</v>
      </c>
      <c r="K316" s="10">
        <v>1830</v>
      </c>
      <c r="L316" s="10">
        <v>1279</v>
      </c>
      <c r="M316" s="10">
        <v>1155</v>
      </c>
      <c r="O316" s="10">
        <v>71</v>
      </c>
      <c r="P316" s="10">
        <v>1</v>
      </c>
      <c r="Q316" s="10" t="s">
        <v>984</v>
      </c>
      <c r="R316" s="10" t="s">
        <v>1456</v>
      </c>
      <c r="S316" s="50"/>
      <c r="U316" s="14" t="s">
        <v>1402</v>
      </c>
    </row>
    <row r="317" spans="1:21" ht="15" x14ac:dyDescent="0.35">
      <c r="A317" s="9">
        <v>328</v>
      </c>
      <c r="B317" s="49"/>
      <c r="C317" s="49" t="s">
        <v>978</v>
      </c>
      <c r="D317" s="49" t="s">
        <v>978</v>
      </c>
      <c r="E317" s="10">
        <v>1424</v>
      </c>
      <c r="F317" s="10" t="s">
        <v>77</v>
      </c>
      <c r="I317" s="10" t="s">
        <v>11</v>
      </c>
      <c r="J317" s="10" t="s">
        <v>979</v>
      </c>
      <c r="K317" s="10">
        <v>1730</v>
      </c>
      <c r="L317" s="10">
        <v>1279</v>
      </c>
      <c r="M317" s="10">
        <v>1155</v>
      </c>
      <c r="O317" s="10">
        <v>69</v>
      </c>
      <c r="P317" s="10">
        <v>1</v>
      </c>
      <c r="Q317" s="10" t="s">
        <v>985</v>
      </c>
      <c r="R317" s="10" t="s">
        <v>1457</v>
      </c>
      <c r="S317" s="50"/>
      <c r="U317" s="14" t="s">
        <v>1402</v>
      </c>
    </row>
    <row r="318" spans="1:21" ht="15" x14ac:dyDescent="0.35">
      <c r="A318" s="9">
        <v>329</v>
      </c>
      <c r="B318" s="49"/>
      <c r="C318" s="49" t="s">
        <v>978</v>
      </c>
      <c r="D318" s="49" t="s">
        <v>978</v>
      </c>
      <c r="E318" s="10">
        <v>1445</v>
      </c>
      <c r="F318" s="10" t="s">
        <v>90</v>
      </c>
      <c r="I318" s="10" t="s">
        <v>11</v>
      </c>
      <c r="J318" s="10" t="s">
        <v>983</v>
      </c>
      <c r="K318" s="10">
        <v>1830</v>
      </c>
      <c r="L318" s="10">
        <v>1279</v>
      </c>
      <c r="M318" s="10">
        <v>1155</v>
      </c>
      <c r="N318" s="10">
        <v>2.7</v>
      </c>
      <c r="O318" s="10">
        <v>73</v>
      </c>
      <c r="P318" s="10">
        <v>1</v>
      </c>
      <c r="Q318" s="10" t="s">
        <v>986</v>
      </c>
      <c r="R318" s="10" t="s">
        <v>1458</v>
      </c>
      <c r="S318" s="50"/>
      <c r="U318" s="14" t="s">
        <v>1402</v>
      </c>
    </row>
    <row r="319" spans="1:21" ht="15" x14ac:dyDescent="0.35">
      <c r="A319" s="9">
        <v>330</v>
      </c>
      <c r="B319" s="49"/>
      <c r="C319" s="49" t="s">
        <v>978</v>
      </c>
      <c r="D319" s="49" t="s">
        <v>978</v>
      </c>
      <c r="E319" s="10">
        <v>1445</v>
      </c>
      <c r="F319" s="10" t="s">
        <v>77</v>
      </c>
      <c r="I319" s="10" t="s">
        <v>11</v>
      </c>
      <c r="J319" s="10" t="s">
        <v>983</v>
      </c>
      <c r="K319" s="10">
        <v>1830</v>
      </c>
      <c r="L319" s="10">
        <v>1279</v>
      </c>
      <c r="M319" s="10">
        <v>1155</v>
      </c>
      <c r="N319" s="10">
        <v>2.7</v>
      </c>
      <c r="O319" s="10">
        <v>71</v>
      </c>
      <c r="P319" s="10">
        <v>1</v>
      </c>
      <c r="Q319" s="10" t="s">
        <v>987</v>
      </c>
      <c r="R319" s="10" t="s">
        <v>1459</v>
      </c>
      <c r="S319" s="10">
        <v>2671</v>
      </c>
      <c r="T319" s="10">
        <f>S319-O319</f>
        <v>2600</v>
      </c>
      <c r="U319" s="14" t="s">
        <v>1402</v>
      </c>
    </row>
    <row r="320" spans="1:21" ht="15" x14ac:dyDescent="0.35">
      <c r="A320" s="9">
        <v>331</v>
      </c>
      <c r="B320" s="49"/>
      <c r="C320" s="49" t="s">
        <v>978</v>
      </c>
      <c r="D320" s="49" t="s">
        <v>978</v>
      </c>
      <c r="E320" s="10">
        <v>1447</v>
      </c>
      <c r="F320" s="10" t="s">
        <v>90</v>
      </c>
      <c r="I320" s="10" t="s">
        <v>11</v>
      </c>
      <c r="J320" s="10" t="s">
        <v>983</v>
      </c>
      <c r="K320" s="10">
        <v>1830</v>
      </c>
      <c r="L320" s="10">
        <v>1279</v>
      </c>
      <c r="M320" s="10">
        <v>1155</v>
      </c>
      <c r="N320" s="10">
        <v>2.7</v>
      </c>
      <c r="O320" s="10">
        <v>73</v>
      </c>
      <c r="P320" s="10">
        <v>1</v>
      </c>
      <c r="Q320" s="10" t="s">
        <v>986</v>
      </c>
      <c r="R320" s="10" t="s">
        <v>1458</v>
      </c>
      <c r="S320" s="10">
        <v>2971</v>
      </c>
      <c r="T320" s="10">
        <f>S320-O320</f>
        <v>2898</v>
      </c>
      <c r="U320" s="14" t="s">
        <v>1402</v>
      </c>
    </row>
    <row r="321" spans="1:21" ht="15" x14ac:dyDescent="0.35">
      <c r="A321" s="9">
        <v>332</v>
      </c>
      <c r="B321" s="49"/>
      <c r="C321" s="49" t="s">
        <v>978</v>
      </c>
      <c r="D321" s="49" t="s">
        <v>978</v>
      </c>
      <c r="E321" s="10">
        <v>1447</v>
      </c>
      <c r="F321" s="10" t="s">
        <v>77</v>
      </c>
      <c r="I321" s="10" t="s">
        <v>11</v>
      </c>
      <c r="J321" s="10" t="s">
        <v>983</v>
      </c>
      <c r="K321" s="10">
        <v>1830</v>
      </c>
      <c r="L321" s="10">
        <v>1279</v>
      </c>
      <c r="M321" s="10">
        <v>1155</v>
      </c>
      <c r="N321" s="10">
        <v>2.7</v>
      </c>
      <c r="O321" s="10">
        <v>71</v>
      </c>
      <c r="P321" s="10">
        <v>1</v>
      </c>
      <c r="Q321" s="10" t="s">
        <v>987</v>
      </c>
      <c r="R321" s="10" t="s">
        <v>1459</v>
      </c>
      <c r="S321" s="10">
        <v>2971</v>
      </c>
      <c r="T321" s="10">
        <f>S321-O321</f>
        <v>2900</v>
      </c>
      <c r="U321" s="14" t="s">
        <v>1402</v>
      </c>
    </row>
    <row r="322" spans="1:21" ht="15" x14ac:dyDescent="0.35">
      <c r="A322" s="9">
        <v>333</v>
      </c>
      <c r="B322" s="49"/>
      <c r="C322" s="49" t="s">
        <v>978</v>
      </c>
      <c r="D322" s="49" t="s">
        <v>978</v>
      </c>
      <c r="E322" s="10">
        <v>1467</v>
      </c>
      <c r="F322" s="10" t="s">
        <v>90</v>
      </c>
      <c r="I322" s="10" t="s">
        <v>11</v>
      </c>
      <c r="J322" s="10" t="s">
        <v>988</v>
      </c>
      <c r="K322" s="10">
        <v>1930</v>
      </c>
      <c r="L322" s="10">
        <v>1279</v>
      </c>
      <c r="M322" s="10">
        <v>1155</v>
      </c>
      <c r="N322" s="10">
        <v>2.85</v>
      </c>
      <c r="O322" s="10">
        <v>75</v>
      </c>
      <c r="P322" s="10">
        <v>1</v>
      </c>
      <c r="Q322" s="10" t="s">
        <v>989</v>
      </c>
      <c r="R322" s="10" t="s">
        <v>1460</v>
      </c>
      <c r="S322" s="10">
        <v>3323</v>
      </c>
      <c r="T322" s="10">
        <f>S322-O322</f>
        <v>3248</v>
      </c>
      <c r="U322" s="14" t="s">
        <v>1402</v>
      </c>
    </row>
    <row r="323" spans="1:21" ht="15" x14ac:dyDescent="0.35">
      <c r="A323" s="9">
        <v>334</v>
      </c>
      <c r="B323" s="49"/>
      <c r="C323" s="49" t="s">
        <v>978</v>
      </c>
      <c r="D323" s="49" t="s">
        <v>978</v>
      </c>
      <c r="E323" s="10">
        <v>1467</v>
      </c>
      <c r="F323" s="10" t="s">
        <v>77</v>
      </c>
      <c r="I323" s="10" t="s">
        <v>11</v>
      </c>
      <c r="J323" s="10" t="s">
        <v>990</v>
      </c>
      <c r="K323" s="10">
        <v>1930</v>
      </c>
      <c r="L323" s="10">
        <v>1279</v>
      </c>
      <c r="M323" s="10">
        <v>1274</v>
      </c>
      <c r="O323" s="10">
        <v>73</v>
      </c>
      <c r="P323" s="10">
        <v>1</v>
      </c>
      <c r="Q323" s="10" t="s">
        <v>991</v>
      </c>
      <c r="R323" s="10" t="s">
        <v>1461</v>
      </c>
      <c r="S323" s="50"/>
      <c r="U323" s="14" t="s">
        <v>1402</v>
      </c>
    </row>
    <row r="324" spans="1:21" ht="15" x14ac:dyDescent="0.35">
      <c r="A324" s="9">
        <v>335</v>
      </c>
      <c r="B324" s="49"/>
      <c r="C324" s="49" t="s">
        <v>978</v>
      </c>
      <c r="D324" s="49" t="s">
        <v>978</v>
      </c>
      <c r="E324" s="10">
        <v>1468</v>
      </c>
      <c r="F324" s="10" t="s">
        <v>90</v>
      </c>
      <c r="I324" s="10" t="s">
        <v>11</v>
      </c>
      <c r="J324" s="10" t="s">
        <v>988</v>
      </c>
      <c r="K324" s="10">
        <v>1930</v>
      </c>
      <c r="L324" s="10">
        <v>1279</v>
      </c>
      <c r="M324" s="10">
        <v>1155</v>
      </c>
      <c r="N324" s="10">
        <v>2.85</v>
      </c>
      <c r="O324" s="10">
        <v>75</v>
      </c>
      <c r="P324" s="10">
        <v>1</v>
      </c>
      <c r="Q324" s="10" t="s">
        <v>989</v>
      </c>
      <c r="R324" s="10" t="s">
        <v>1460</v>
      </c>
      <c r="S324" s="10">
        <v>3323</v>
      </c>
      <c r="T324" s="10">
        <f>S324-O324</f>
        <v>3248</v>
      </c>
      <c r="U324" s="14" t="s">
        <v>1402</v>
      </c>
    </row>
    <row r="325" spans="1:21" ht="15" x14ac:dyDescent="0.35">
      <c r="A325" s="9">
        <v>336</v>
      </c>
      <c r="B325" s="49"/>
      <c r="C325" s="49" t="s">
        <v>978</v>
      </c>
      <c r="D325" s="49" t="s">
        <v>978</v>
      </c>
      <c r="E325" s="10">
        <v>1468</v>
      </c>
      <c r="F325" s="10" t="s">
        <v>77</v>
      </c>
      <c r="I325" s="10" t="s">
        <v>11</v>
      </c>
      <c r="J325" s="10" t="s">
        <v>990</v>
      </c>
      <c r="K325" s="10">
        <v>1930</v>
      </c>
      <c r="L325" s="10">
        <v>1279</v>
      </c>
      <c r="M325" s="10">
        <v>1274</v>
      </c>
      <c r="O325" s="10">
        <v>73</v>
      </c>
      <c r="P325" s="10">
        <v>1</v>
      </c>
      <c r="Q325" s="10" t="s">
        <v>991</v>
      </c>
      <c r="R325" s="10" t="s">
        <v>1461</v>
      </c>
      <c r="S325" s="50"/>
      <c r="U325" s="14" t="s">
        <v>1402</v>
      </c>
    </row>
    <row r="326" spans="1:21" ht="15" x14ac:dyDescent="0.35">
      <c r="A326" s="9">
        <v>337</v>
      </c>
      <c r="B326" s="49"/>
      <c r="C326" s="49" t="s">
        <v>978</v>
      </c>
      <c r="D326" s="49" t="s">
        <v>978</v>
      </c>
      <c r="E326" s="10">
        <v>1488</v>
      </c>
      <c r="F326" s="10" t="s">
        <v>90</v>
      </c>
      <c r="I326" s="10" t="s">
        <v>11</v>
      </c>
      <c r="J326" s="10" t="s">
        <v>992</v>
      </c>
      <c r="K326" s="10">
        <v>2130</v>
      </c>
      <c r="L326" s="10">
        <v>1279</v>
      </c>
      <c r="M326" s="10">
        <v>1274</v>
      </c>
      <c r="O326" s="10">
        <v>77</v>
      </c>
      <c r="P326" s="10">
        <v>1</v>
      </c>
      <c r="Q326" s="10" t="s">
        <v>993</v>
      </c>
      <c r="R326" s="10" t="s">
        <v>1462</v>
      </c>
      <c r="S326" s="50"/>
      <c r="U326" s="14" t="s">
        <v>1402</v>
      </c>
    </row>
    <row r="327" spans="1:21" ht="15" x14ac:dyDescent="0.35">
      <c r="A327" s="9">
        <v>338</v>
      </c>
      <c r="B327" s="49"/>
      <c r="C327" s="49" t="s">
        <v>978</v>
      </c>
      <c r="D327" s="49" t="s">
        <v>978</v>
      </c>
      <c r="E327" s="10">
        <v>1488</v>
      </c>
      <c r="F327" s="10" t="s">
        <v>77</v>
      </c>
      <c r="I327" s="10" t="s">
        <v>11</v>
      </c>
      <c r="J327" s="10" t="s">
        <v>994</v>
      </c>
      <c r="K327" s="10">
        <v>2030</v>
      </c>
      <c r="L327" s="10">
        <v>1279</v>
      </c>
      <c r="M327" s="10">
        <v>1274</v>
      </c>
      <c r="O327" s="10">
        <v>75</v>
      </c>
      <c r="P327" s="10">
        <v>1</v>
      </c>
      <c r="Q327" s="10" t="s">
        <v>995</v>
      </c>
      <c r="R327" s="10" t="s">
        <v>1463</v>
      </c>
      <c r="S327" s="50"/>
      <c r="U327" s="14" t="s">
        <v>1402</v>
      </c>
    </row>
    <row r="328" spans="1:21" ht="15" x14ac:dyDescent="0.35">
      <c r="A328" s="9">
        <v>339</v>
      </c>
      <c r="B328" s="49"/>
      <c r="C328" s="49" t="s">
        <v>978</v>
      </c>
      <c r="D328" s="49" t="s">
        <v>978</v>
      </c>
      <c r="E328" s="10">
        <v>1602</v>
      </c>
      <c r="F328" s="10" t="s">
        <v>90</v>
      </c>
      <c r="I328" s="10" t="s">
        <v>11</v>
      </c>
      <c r="J328" s="10" t="s">
        <v>996</v>
      </c>
      <c r="K328" s="10">
        <v>2105</v>
      </c>
      <c r="L328" s="10">
        <v>1299</v>
      </c>
      <c r="M328" s="10">
        <v>1274</v>
      </c>
      <c r="N328" s="10">
        <v>3.48</v>
      </c>
      <c r="O328" s="10">
        <v>92</v>
      </c>
      <c r="P328" s="10">
        <v>1</v>
      </c>
      <c r="Q328" s="10" t="s">
        <v>997</v>
      </c>
      <c r="R328" s="10" t="s">
        <v>1464</v>
      </c>
      <c r="S328" s="10">
        <v>3510</v>
      </c>
      <c r="T328" s="10">
        <f>S328-O328</f>
        <v>3418</v>
      </c>
      <c r="U328" s="14" t="s">
        <v>1402</v>
      </c>
    </row>
    <row r="329" spans="1:21" ht="15" x14ac:dyDescent="0.35">
      <c r="A329" s="9">
        <v>340</v>
      </c>
      <c r="B329" s="49"/>
      <c r="C329" s="49" t="s">
        <v>978</v>
      </c>
      <c r="D329" s="49" t="s">
        <v>978</v>
      </c>
      <c r="E329" s="10">
        <v>1602</v>
      </c>
      <c r="F329" s="10" t="s">
        <v>77</v>
      </c>
      <c r="I329" s="10" t="s">
        <v>11</v>
      </c>
      <c r="J329" s="10" t="s">
        <v>998</v>
      </c>
      <c r="K329" s="10">
        <v>2055</v>
      </c>
      <c r="L329" s="10">
        <v>1299</v>
      </c>
      <c r="M329" s="10">
        <v>1274</v>
      </c>
      <c r="O329" s="10">
        <v>91</v>
      </c>
      <c r="P329" s="10">
        <v>1</v>
      </c>
      <c r="Q329" s="10" t="s">
        <v>999</v>
      </c>
      <c r="R329" s="10" t="s">
        <v>1465</v>
      </c>
      <c r="S329" s="50"/>
      <c r="U329" s="14" t="s">
        <v>1402</v>
      </c>
    </row>
    <row r="330" spans="1:21" ht="15" x14ac:dyDescent="0.35">
      <c r="A330" s="9">
        <v>341</v>
      </c>
      <c r="B330" s="49"/>
      <c r="C330" s="49" t="s">
        <v>978</v>
      </c>
      <c r="D330" s="49" t="s">
        <v>978</v>
      </c>
      <c r="E330" s="10">
        <v>1622</v>
      </c>
      <c r="F330" s="10" t="s">
        <v>90</v>
      </c>
      <c r="I330" s="10" t="s">
        <v>11</v>
      </c>
      <c r="J330" s="10" t="s">
        <v>1000</v>
      </c>
      <c r="K330" s="10">
        <v>2205</v>
      </c>
      <c r="L330" s="10">
        <v>1299</v>
      </c>
      <c r="M330" s="10">
        <v>1350</v>
      </c>
      <c r="O330" s="10">
        <v>94</v>
      </c>
      <c r="P330" s="10">
        <v>1</v>
      </c>
      <c r="Q330" s="10" t="s">
        <v>1001</v>
      </c>
      <c r="R330" s="10" t="s">
        <v>1466</v>
      </c>
      <c r="S330" s="50"/>
      <c r="U330" s="14" t="s">
        <v>1402</v>
      </c>
    </row>
    <row r="331" spans="1:21" ht="15" x14ac:dyDescent="0.35">
      <c r="A331" s="9">
        <v>342</v>
      </c>
      <c r="B331" s="49"/>
      <c r="C331" s="49" t="s">
        <v>978</v>
      </c>
      <c r="D331" s="49" t="s">
        <v>978</v>
      </c>
      <c r="E331" s="10">
        <v>1625</v>
      </c>
      <c r="F331" s="10" t="s">
        <v>90</v>
      </c>
      <c r="I331" s="10" t="s">
        <v>11</v>
      </c>
      <c r="J331" s="10" t="s">
        <v>1002</v>
      </c>
      <c r="K331" s="10">
        <v>2155</v>
      </c>
      <c r="L331" s="10">
        <v>1299</v>
      </c>
      <c r="M331" s="10">
        <v>1274</v>
      </c>
      <c r="N331" s="10">
        <v>3.57</v>
      </c>
      <c r="O331" s="10">
        <v>91</v>
      </c>
      <c r="P331" s="10">
        <v>1</v>
      </c>
      <c r="Q331" s="10" t="s">
        <v>1003</v>
      </c>
      <c r="R331" s="10" t="s">
        <v>1467</v>
      </c>
      <c r="S331" s="10">
        <v>3716</v>
      </c>
      <c r="T331" s="10">
        <f>S331-O331</f>
        <v>3625</v>
      </c>
      <c r="U331" s="14" t="s">
        <v>1402</v>
      </c>
    </row>
    <row r="332" spans="1:21" ht="15" x14ac:dyDescent="0.35">
      <c r="A332" s="9">
        <v>343</v>
      </c>
      <c r="B332" s="49"/>
      <c r="C332" s="49" t="s">
        <v>978</v>
      </c>
      <c r="D332" s="49" t="s">
        <v>978</v>
      </c>
      <c r="E332" s="10">
        <v>1645</v>
      </c>
      <c r="F332" s="10" t="s">
        <v>77</v>
      </c>
      <c r="J332" s="10" t="s">
        <v>1004</v>
      </c>
      <c r="K332" s="10">
        <v>2255</v>
      </c>
      <c r="L332" s="10">
        <v>1299</v>
      </c>
      <c r="M332" s="10">
        <v>1274</v>
      </c>
      <c r="N332" s="10">
        <v>3.73</v>
      </c>
      <c r="O332" s="10">
        <v>93</v>
      </c>
      <c r="P332" s="10">
        <v>1</v>
      </c>
      <c r="Q332" s="10" t="s">
        <v>1005</v>
      </c>
      <c r="R332" s="10" t="s">
        <v>1468</v>
      </c>
      <c r="S332" s="50"/>
      <c r="T332" s="50"/>
      <c r="U332" s="14" t="s">
        <v>1402</v>
      </c>
    </row>
    <row r="333" spans="1:21" ht="15" x14ac:dyDescent="0.35">
      <c r="A333" s="9">
        <v>344</v>
      </c>
      <c r="B333" s="49"/>
      <c r="C333" s="49" t="s">
        <v>978</v>
      </c>
      <c r="D333" s="49" t="s">
        <v>978</v>
      </c>
      <c r="E333" s="10">
        <v>1646</v>
      </c>
      <c r="F333" s="10" t="s">
        <v>77</v>
      </c>
      <c r="J333" s="10" t="s">
        <v>1004</v>
      </c>
      <c r="K333" s="10">
        <v>2255</v>
      </c>
      <c r="L333" s="10">
        <v>1299</v>
      </c>
      <c r="M333" s="10">
        <v>1274</v>
      </c>
      <c r="N333" s="10">
        <v>3.73</v>
      </c>
      <c r="O333" s="10">
        <v>93</v>
      </c>
      <c r="P333" s="10">
        <v>1</v>
      </c>
      <c r="Q333" s="10" t="s">
        <v>1005</v>
      </c>
      <c r="R333" s="10" t="s">
        <v>1468</v>
      </c>
      <c r="S333" s="50"/>
      <c r="T333" s="50"/>
      <c r="U333" s="14" t="s">
        <v>1402</v>
      </c>
    </row>
    <row r="334" spans="1:21" ht="15" x14ac:dyDescent="0.35">
      <c r="A334" s="9">
        <v>345</v>
      </c>
      <c r="B334" s="49"/>
      <c r="C334" s="49" t="s">
        <v>978</v>
      </c>
      <c r="D334" s="49" t="s">
        <v>978</v>
      </c>
      <c r="E334" s="10">
        <v>1647</v>
      </c>
      <c r="F334" s="10" t="s">
        <v>90</v>
      </c>
      <c r="I334" s="10" t="s">
        <v>11</v>
      </c>
      <c r="J334" s="10" t="s">
        <v>1006</v>
      </c>
      <c r="K334" s="10">
        <v>2190</v>
      </c>
      <c r="L334" s="10">
        <v>1299</v>
      </c>
      <c r="M334" s="10">
        <v>1274</v>
      </c>
      <c r="N334" s="10">
        <v>3.62</v>
      </c>
      <c r="O334" s="10">
        <v>96</v>
      </c>
      <c r="P334" s="10">
        <v>1</v>
      </c>
      <c r="Q334" s="10" t="s">
        <v>1007</v>
      </c>
      <c r="R334" s="10" t="s">
        <v>1469</v>
      </c>
      <c r="S334" s="10">
        <v>4116</v>
      </c>
      <c r="T334" s="10">
        <f>S334-O334</f>
        <v>4020</v>
      </c>
      <c r="U334" s="14" t="s">
        <v>1402</v>
      </c>
    </row>
    <row r="335" spans="1:21" ht="15" x14ac:dyDescent="0.35">
      <c r="A335" s="9">
        <v>346</v>
      </c>
      <c r="B335" s="49"/>
      <c r="C335" s="49" t="s">
        <v>978</v>
      </c>
      <c r="D335" s="49" t="s">
        <v>978</v>
      </c>
      <c r="E335" s="10">
        <v>1667</v>
      </c>
      <c r="F335" s="10" t="s">
        <v>77</v>
      </c>
      <c r="I335" s="10" t="s">
        <v>11</v>
      </c>
      <c r="J335" s="10" t="s">
        <v>1008</v>
      </c>
      <c r="K335" s="10">
        <v>2355</v>
      </c>
      <c r="L335" s="10">
        <v>1299</v>
      </c>
      <c r="M335" s="10">
        <v>1350</v>
      </c>
      <c r="O335" s="10">
        <v>95</v>
      </c>
      <c r="P335" s="10">
        <v>1</v>
      </c>
      <c r="Q335" s="10" t="s">
        <v>1009</v>
      </c>
      <c r="R335" s="10" t="s">
        <v>1470</v>
      </c>
      <c r="S335" s="50"/>
      <c r="T335" s="50"/>
      <c r="U335" s="14" t="s">
        <v>1402</v>
      </c>
    </row>
    <row r="336" spans="1:21" ht="15" x14ac:dyDescent="0.35">
      <c r="A336" s="9">
        <v>347</v>
      </c>
      <c r="B336" s="49"/>
      <c r="C336" s="49" t="s">
        <v>978</v>
      </c>
      <c r="D336" s="49" t="s">
        <v>978</v>
      </c>
      <c r="E336" s="10">
        <v>1668</v>
      </c>
      <c r="F336" s="10" t="s">
        <v>77</v>
      </c>
      <c r="I336" s="10" t="s">
        <v>11</v>
      </c>
      <c r="J336" s="10" t="s">
        <v>1008</v>
      </c>
      <c r="K336" s="10">
        <v>2355</v>
      </c>
      <c r="L336" s="10">
        <v>1299</v>
      </c>
      <c r="M336" s="10">
        <v>1350</v>
      </c>
      <c r="O336" s="10">
        <v>95</v>
      </c>
      <c r="P336" s="10">
        <v>1</v>
      </c>
      <c r="Q336" s="10" t="s">
        <v>1009</v>
      </c>
      <c r="R336" s="10" t="s">
        <v>1470</v>
      </c>
      <c r="S336" s="50"/>
      <c r="T336" s="50"/>
      <c r="U336" s="14" t="s">
        <v>1402</v>
      </c>
    </row>
    <row r="337" spans="1:21" ht="15" x14ac:dyDescent="0.35">
      <c r="A337" s="9">
        <v>348</v>
      </c>
      <c r="B337" s="49"/>
      <c r="C337" s="49" t="s">
        <v>978</v>
      </c>
      <c r="D337" s="49" t="s">
        <v>978</v>
      </c>
      <c r="E337" s="10">
        <v>1669</v>
      </c>
      <c r="F337" s="10" t="s">
        <v>77</v>
      </c>
      <c r="I337" s="10" t="s">
        <v>11</v>
      </c>
      <c r="J337" s="10" t="s">
        <v>1010</v>
      </c>
      <c r="K337" s="10">
        <v>2290</v>
      </c>
      <c r="L337" s="10">
        <v>1299</v>
      </c>
      <c r="M337" s="10">
        <v>1274</v>
      </c>
      <c r="N337" s="10">
        <v>3.78</v>
      </c>
      <c r="O337" s="10">
        <v>95</v>
      </c>
      <c r="P337" s="10">
        <v>1</v>
      </c>
      <c r="Q337" s="10" t="s">
        <v>1009</v>
      </c>
      <c r="R337" s="10" t="s">
        <v>1470</v>
      </c>
      <c r="S337" s="10">
        <v>4623</v>
      </c>
      <c r="T337" s="10">
        <f>S337-O337</f>
        <v>4528</v>
      </c>
      <c r="U337" s="14" t="s">
        <v>1402</v>
      </c>
    </row>
    <row r="338" spans="1:21" ht="15" x14ac:dyDescent="0.35">
      <c r="A338" s="9">
        <v>349</v>
      </c>
      <c r="B338" s="49"/>
      <c r="C338" s="49" t="s">
        <v>978</v>
      </c>
      <c r="D338" s="49" t="s">
        <v>978</v>
      </c>
      <c r="E338" s="10">
        <v>1670</v>
      </c>
      <c r="F338" s="10" t="s">
        <v>77</v>
      </c>
      <c r="I338" s="10" t="s">
        <v>11</v>
      </c>
      <c r="J338" s="10" t="s">
        <v>1011</v>
      </c>
      <c r="K338" s="10">
        <v>2405</v>
      </c>
      <c r="L338" s="10">
        <v>1299</v>
      </c>
      <c r="M338" s="10">
        <v>1274</v>
      </c>
      <c r="N338" s="10">
        <v>3.98</v>
      </c>
      <c r="O338" s="10">
        <v>95</v>
      </c>
      <c r="P338" s="10">
        <v>1</v>
      </c>
      <c r="Q338" s="10" t="s">
        <v>1009</v>
      </c>
      <c r="R338" s="10" t="s">
        <v>1470</v>
      </c>
      <c r="S338" s="10">
        <v>5298</v>
      </c>
      <c r="T338" s="10">
        <f>S338-O338</f>
        <v>5203</v>
      </c>
      <c r="U338" s="14" t="s">
        <v>1402</v>
      </c>
    </row>
    <row r="339" spans="1:21" ht="15" x14ac:dyDescent="0.35">
      <c r="A339" s="9">
        <v>350</v>
      </c>
      <c r="B339" s="53"/>
      <c r="C339" s="53" t="s">
        <v>978</v>
      </c>
      <c r="D339" s="53" t="s">
        <v>978</v>
      </c>
      <c r="E339" s="10">
        <v>1846</v>
      </c>
      <c r="F339" s="10" t="s">
        <v>90</v>
      </c>
      <c r="J339" s="10" t="s">
        <v>1012</v>
      </c>
      <c r="K339" s="10">
        <v>2528</v>
      </c>
      <c r="L339" s="10">
        <v>1415</v>
      </c>
      <c r="M339" s="10">
        <v>1348</v>
      </c>
      <c r="N339" s="10">
        <v>4.82</v>
      </c>
      <c r="P339" s="10">
        <v>1</v>
      </c>
      <c r="S339" s="10">
        <v>5730</v>
      </c>
      <c r="T339" s="10">
        <f>S339-O339</f>
        <v>5730</v>
      </c>
      <c r="U339" s="14" t="s">
        <v>1402</v>
      </c>
    </row>
    <row r="340" spans="1:21" ht="15" x14ac:dyDescent="0.35">
      <c r="A340" s="9">
        <v>351</v>
      </c>
      <c r="B340" s="10" t="s">
        <v>1013</v>
      </c>
      <c r="C340" s="10" t="s">
        <v>978</v>
      </c>
      <c r="D340" s="10" t="s">
        <v>978</v>
      </c>
      <c r="E340" s="10">
        <v>1848</v>
      </c>
      <c r="F340" s="10" t="s">
        <v>16</v>
      </c>
      <c r="G340" s="10">
        <v>297</v>
      </c>
      <c r="H340" s="10">
        <v>1075</v>
      </c>
      <c r="I340" s="10" t="s">
        <v>17</v>
      </c>
      <c r="J340" s="10" t="s">
        <v>1012</v>
      </c>
      <c r="K340" s="10">
        <v>2528</v>
      </c>
      <c r="L340" s="10">
        <v>1415</v>
      </c>
      <c r="M340" s="10">
        <v>1348</v>
      </c>
      <c r="N340" s="10">
        <v>4.82</v>
      </c>
      <c r="O340" s="10">
        <v>180</v>
      </c>
      <c r="P340" s="10">
        <v>1</v>
      </c>
      <c r="Q340" s="10" t="s">
        <v>1014</v>
      </c>
      <c r="R340" s="10" t="s">
        <v>1015</v>
      </c>
      <c r="S340" s="10">
        <v>5730</v>
      </c>
      <c r="T340" s="10">
        <v>5550</v>
      </c>
      <c r="U340" s="14" t="s">
        <v>1402</v>
      </c>
    </row>
    <row r="341" spans="1:21" ht="15" x14ac:dyDescent="0.35">
      <c r="A341" s="9">
        <v>352</v>
      </c>
      <c r="B341" s="10" t="s">
        <v>1016</v>
      </c>
      <c r="C341" s="10" t="s">
        <v>978</v>
      </c>
      <c r="D341" s="10" t="s">
        <v>978</v>
      </c>
      <c r="E341" s="10">
        <v>1870</v>
      </c>
      <c r="F341" s="10" t="s">
        <v>16</v>
      </c>
      <c r="G341" s="10">
        <v>297</v>
      </c>
      <c r="H341" s="10">
        <v>1075</v>
      </c>
      <c r="I341" s="10" t="s">
        <v>17</v>
      </c>
      <c r="J341" s="10" t="s">
        <v>1017</v>
      </c>
      <c r="K341" s="10">
        <v>2650</v>
      </c>
      <c r="L341" s="10">
        <v>1345</v>
      </c>
      <c r="M341" s="10">
        <v>1490</v>
      </c>
      <c r="N341" s="10">
        <v>5.31</v>
      </c>
      <c r="O341" s="10">
        <v>219.7</v>
      </c>
      <c r="P341" s="10">
        <v>1</v>
      </c>
      <c r="Q341" s="10" t="s">
        <v>1018</v>
      </c>
      <c r="R341" s="10" t="s">
        <v>1019</v>
      </c>
      <c r="S341" s="10">
        <v>6204.7</v>
      </c>
      <c r="T341" s="10">
        <v>5985</v>
      </c>
      <c r="U341" s="14" t="s">
        <v>1402</v>
      </c>
    </row>
    <row r="342" spans="1:21" ht="15" x14ac:dyDescent="0.35">
      <c r="A342" s="9">
        <v>353</v>
      </c>
      <c r="B342" s="53"/>
      <c r="C342" s="53" t="s">
        <v>1020</v>
      </c>
      <c r="D342" s="53" t="s">
        <v>1021</v>
      </c>
      <c r="E342" s="10" t="s">
        <v>1022</v>
      </c>
      <c r="J342" s="10" t="s">
        <v>601</v>
      </c>
      <c r="K342" s="10">
        <v>2860</v>
      </c>
      <c r="L342" s="10">
        <v>1592</v>
      </c>
      <c r="M342" s="10">
        <v>1688</v>
      </c>
      <c r="N342" s="10">
        <v>7.69</v>
      </c>
      <c r="O342" s="10">
        <v>130</v>
      </c>
      <c r="P342" s="10">
        <v>1</v>
      </c>
      <c r="S342" s="10">
        <v>6380</v>
      </c>
      <c r="T342" s="10">
        <f>S342-O342</f>
        <v>6250</v>
      </c>
      <c r="U342" s="14" t="s">
        <v>1402</v>
      </c>
    </row>
    <row r="343" spans="1:21" ht="15" x14ac:dyDescent="0.35">
      <c r="A343" s="9">
        <v>354</v>
      </c>
      <c r="B343" s="53"/>
      <c r="C343" s="53" t="s">
        <v>1023</v>
      </c>
      <c r="D343" s="53" t="s">
        <v>1021</v>
      </c>
      <c r="E343" s="10" t="s">
        <v>1022</v>
      </c>
      <c r="J343" s="10" t="s">
        <v>1024</v>
      </c>
      <c r="K343" s="10">
        <v>3060</v>
      </c>
      <c r="L343" s="10">
        <v>1696</v>
      </c>
      <c r="M343" s="10">
        <v>1688</v>
      </c>
      <c r="N343" s="10">
        <v>8.76</v>
      </c>
      <c r="O343" s="10">
        <v>130</v>
      </c>
      <c r="P343" s="10">
        <v>1</v>
      </c>
      <c r="S343" s="10">
        <v>6305</v>
      </c>
      <c r="T343" s="10">
        <f>S343-O343</f>
        <v>6175</v>
      </c>
      <c r="U343" s="14" t="s">
        <v>1402</v>
      </c>
    </row>
    <row r="344" spans="1:21" ht="15" x14ac:dyDescent="0.35">
      <c r="A344" s="9">
        <v>355</v>
      </c>
      <c r="B344" s="53"/>
      <c r="C344" s="53" t="s">
        <v>1025</v>
      </c>
      <c r="D344" s="53" t="s">
        <v>1021</v>
      </c>
      <c r="E344" s="10" t="s">
        <v>1022</v>
      </c>
      <c r="J344" s="10" t="s">
        <v>1024</v>
      </c>
      <c r="K344" s="10">
        <v>3060</v>
      </c>
      <c r="L344" s="10">
        <v>1696</v>
      </c>
      <c r="M344" s="10">
        <v>1688</v>
      </c>
      <c r="N344" s="10">
        <v>8.76</v>
      </c>
      <c r="O344" s="10">
        <v>136</v>
      </c>
      <c r="P344" s="10">
        <v>1</v>
      </c>
      <c r="S344" s="10">
        <v>6091</v>
      </c>
      <c r="T344" s="10">
        <f>S344-O344</f>
        <v>5955</v>
      </c>
      <c r="U344" s="14" t="s">
        <v>1402</v>
      </c>
    </row>
    <row r="345" spans="1:21" ht="15" x14ac:dyDescent="0.35">
      <c r="A345" s="9">
        <v>356</v>
      </c>
      <c r="B345" s="53"/>
      <c r="C345" s="53" t="s">
        <v>1026</v>
      </c>
      <c r="D345" s="53" t="s">
        <v>1021</v>
      </c>
      <c r="E345" s="10" t="s">
        <v>1022</v>
      </c>
      <c r="J345" s="10" t="s">
        <v>623</v>
      </c>
      <c r="K345" s="10">
        <v>3060</v>
      </c>
      <c r="L345" s="10">
        <v>1592</v>
      </c>
      <c r="M345" s="10">
        <v>1688</v>
      </c>
      <c r="N345" s="10">
        <v>8.2200000000000006</v>
      </c>
      <c r="O345" s="10">
        <v>136</v>
      </c>
      <c r="P345" s="10">
        <v>1</v>
      </c>
      <c r="S345" s="10">
        <v>6466</v>
      </c>
      <c r="T345" s="10">
        <f>S345-O345</f>
        <v>6330</v>
      </c>
      <c r="U345" s="14" t="s">
        <v>1402</v>
      </c>
    </row>
    <row r="346" spans="1:21" ht="15" x14ac:dyDescent="0.35">
      <c r="A346" s="9">
        <v>357</v>
      </c>
      <c r="B346" s="10" t="s">
        <v>12</v>
      </c>
      <c r="C346" s="10" t="s">
        <v>13</v>
      </c>
      <c r="D346" s="10" t="s">
        <v>14</v>
      </c>
      <c r="E346" s="10" t="s">
        <v>15</v>
      </c>
      <c r="F346" s="10" t="s">
        <v>16</v>
      </c>
      <c r="G346" s="10">
        <v>240</v>
      </c>
      <c r="H346" s="10">
        <v>916</v>
      </c>
      <c r="I346" s="10" t="s">
        <v>17</v>
      </c>
      <c r="J346" s="10" t="s">
        <v>1027</v>
      </c>
      <c r="K346" s="10">
        <v>2104</v>
      </c>
      <c r="L346" s="10">
        <v>1370</v>
      </c>
      <c r="M346" s="10">
        <v>1472</v>
      </c>
      <c r="N346" s="10">
        <v>4.24</v>
      </c>
      <c r="O346" s="10">
        <v>190</v>
      </c>
      <c r="P346" s="10">
        <v>1</v>
      </c>
      <c r="Q346" s="10" t="s">
        <v>19</v>
      </c>
      <c r="R346" s="10" t="s">
        <v>1028</v>
      </c>
      <c r="S346" s="10">
        <v>3190</v>
      </c>
      <c r="T346" s="10">
        <v>3000</v>
      </c>
      <c r="U346" s="14" t="s">
        <v>1403</v>
      </c>
    </row>
    <row r="347" spans="1:21" ht="15" x14ac:dyDescent="0.35">
      <c r="A347" s="9">
        <v>359</v>
      </c>
      <c r="B347" s="10" t="s">
        <v>28</v>
      </c>
      <c r="C347" s="10" t="s">
        <v>13</v>
      </c>
      <c r="D347" s="10" t="s">
        <v>14</v>
      </c>
      <c r="E347" s="10" t="s">
        <v>29</v>
      </c>
      <c r="F347" s="10" t="s">
        <v>16</v>
      </c>
      <c r="G347" s="10">
        <v>450</v>
      </c>
      <c r="H347" s="10">
        <v>850</v>
      </c>
      <c r="I347" s="10" t="s">
        <v>24</v>
      </c>
      <c r="J347" s="10" t="s">
        <v>1029</v>
      </c>
      <c r="K347" s="10">
        <v>2404</v>
      </c>
      <c r="L347" s="10">
        <v>1996</v>
      </c>
      <c r="M347" s="10">
        <v>1892</v>
      </c>
      <c r="N347" s="10">
        <v>9.08</v>
      </c>
      <c r="O347" s="10">
        <v>260</v>
      </c>
      <c r="P347" s="10">
        <v>1</v>
      </c>
      <c r="Q347" s="10" t="s">
        <v>31</v>
      </c>
      <c r="R347" s="10" t="s">
        <v>1030</v>
      </c>
      <c r="S347" s="10">
        <v>3660</v>
      </c>
      <c r="T347" s="10">
        <v>3400</v>
      </c>
      <c r="U347" s="14" t="s">
        <v>1403</v>
      </c>
    </row>
    <row r="348" spans="1:21" ht="15" x14ac:dyDescent="0.35">
      <c r="A348" s="9">
        <v>361</v>
      </c>
      <c r="B348" s="10" t="s">
        <v>40</v>
      </c>
      <c r="C348" s="10" t="s">
        <v>13</v>
      </c>
      <c r="D348" s="10" t="s">
        <v>14</v>
      </c>
      <c r="E348" s="10" t="s">
        <v>29</v>
      </c>
      <c r="F348" s="10" t="s">
        <v>41</v>
      </c>
      <c r="G348" s="10">
        <v>450</v>
      </c>
      <c r="H348" s="10">
        <v>600</v>
      </c>
      <c r="I348" s="10" t="s">
        <v>17</v>
      </c>
      <c r="J348" s="10" t="s">
        <v>1031</v>
      </c>
      <c r="K348" s="10">
        <v>1844</v>
      </c>
      <c r="L348" s="10">
        <v>1274</v>
      </c>
      <c r="M348" s="10">
        <v>1592</v>
      </c>
      <c r="N348" s="10">
        <v>3.74</v>
      </c>
      <c r="O348" s="10">
        <v>120</v>
      </c>
      <c r="P348" s="10">
        <v>1</v>
      </c>
      <c r="Q348" s="10" t="s">
        <v>43</v>
      </c>
      <c r="R348" s="10" t="s">
        <v>1032</v>
      </c>
      <c r="S348" s="10">
        <v>2720</v>
      </c>
      <c r="T348" s="10">
        <v>2600</v>
      </c>
      <c r="U348" s="14" t="s">
        <v>1403</v>
      </c>
    </row>
    <row r="349" spans="1:21" ht="15" x14ac:dyDescent="0.35">
      <c r="A349" s="9">
        <v>362</v>
      </c>
      <c r="B349" s="10" t="s">
        <v>45</v>
      </c>
      <c r="C349" s="10" t="s">
        <v>13</v>
      </c>
      <c r="D349" s="10" t="s">
        <v>14</v>
      </c>
      <c r="E349" s="10" t="s">
        <v>46</v>
      </c>
      <c r="F349" s="10" t="s">
        <v>16</v>
      </c>
      <c r="G349" s="10">
        <v>450</v>
      </c>
      <c r="H349" s="10">
        <v>600</v>
      </c>
      <c r="I349" s="10" t="s">
        <v>17</v>
      </c>
      <c r="J349" s="10" t="s">
        <v>1033</v>
      </c>
      <c r="K349" s="10">
        <v>2044</v>
      </c>
      <c r="L349" s="10">
        <v>1274</v>
      </c>
      <c r="M349" s="10">
        <v>1592</v>
      </c>
      <c r="N349" s="10">
        <v>4.1500000000000004</v>
      </c>
      <c r="O349" s="10">
        <v>130</v>
      </c>
      <c r="P349" s="10">
        <v>1</v>
      </c>
      <c r="Q349" s="10" t="s">
        <v>48</v>
      </c>
      <c r="R349" s="10" t="s">
        <v>1034</v>
      </c>
      <c r="S349" s="10">
        <v>2930</v>
      </c>
      <c r="T349" s="10">
        <v>2800</v>
      </c>
      <c r="U349" s="14" t="s">
        <v>1403</v>
      </c>
    </row>
    <row r="350" spans="1:21" ht="15" x14ac:dyDescent="0.35">
      <c r="A350" s="9">
        <v>363</v>
      </c>
      <c r="B350" s="10" t="s">
        <v>50</v>
      </c>
      <c r="C350" s="10" t="s">
        <v>13</v>
      </c>
      <c r="D350" s="10" t="s">
        <v>14</v>
      </c>
      <c r="E350" s="10" t="s">
        <v>51</v>
      </c>
      <c r="F350" s="10" t="s">
        <v>16</v>
      </c>
      <c r="G350" s="10">
        <v>450</v>
      </c>
      <c r="H350" s="10">
        <v>850</v>
      </c>
      <c r="I350" s="10" t="s">
        <v>24</v>
      </c>
      <c r="J350" s="10" t="s">
        <v>1035</v>
      </c>
      <c r="K350" s="10">
        <v>2804</v>
      </c>
      <c r="L350" s="10">
        <v>1804</v>
      </c>
      <c r="M350" s="10">
        <v>2012</v>
      </c>
      <c r="N350" s="10">
        <v>10.18</v>
      </c>
      <c r="O350" s="10">
        <v>260</v>
      </c>
      <c r="P350" s="10">
        <v>1</v>
      </c>
      <c r="Q350" s="10" t="s">
        <v>36</v>
      </c>
      <c r="R350" s="10" t="s">
        <v>1036</v>
      </c>
      <c r="S350" s="10">
        <v>4060</v>
      </c>
      <c r="T350" s="10">
        <v>3800</v>
      </c>
      <c r="U350" s="14" t="s">
        <v>1403</v>
      </c>
    </row>
    <row r="351" spans="1:21" ht="15" x14ac:dyDescent="0.35">
      <c r="A351" s="9">
        <v>364</v>
      </c>
      <c r="B351" s="10" t="s">
        <v>62</v>
      </c>
      <c r="C351" s="10" t="s">
        <v>13</v>
      </c>
      <c r="D351" s="10" t="s">
        <v>14</v>
      </c>
      <c r="E351" s="10" t="s">
        <v>58</v>
      </c>
      <c r="F351" s="10" t="s">
        <v>41</v>
      </c>
      <c r="G351" s="10">
        <v>450</v>
      </c>
      <c r="H351" s="10">
        <v>600</v>
      </c>
      <c r="I351" s="10" t="s">
        <v>17</v>
      </c>
      <c r="J351" s="10" t="s">
        <v>1037</v>
      </c>
      <c r="K351" s="10">
        <v>2179</v>
      </c>
      <c r="L351" s="10">
        <v>1604</v>
      </c>
      <c r="M351" s="10">
        <v>1652</v>
      </c>
      <c r="N351" s="10">
        <v>5.77</v>
      </c>
      <c r="O351" s="10">
        <v>215</v>
      </c>
      <c r="P351" s="10">
        <v>1</v>
      </c>
      <c r="Q351" s="10" t="s">
        <v>64</v>
      </c>
      <c r="R351" s="10" t="s">
        <v>1038</v>
      </c>
      <c r="S351" s="10">
        <v>3615</v>
      </c>
      <c r="T351" s="10">
        <v>3400</v>
      </c>
      <c r="U351" s="14" t="s">
        <v>1403</v>
      </c>
    </row>
    <row r="352" spans="1:21" ht="15" x14ac:dyDescent="0.35">
      <c r="A352" s="9">
        <v>365</v>
      </c>
      <c r="B352" s="10" t="s">
        <v>69</v>
      </c>
      <c r="C352" s="10" t="s">
        <v>13</v>
      </c>
      <c r="D352" s="10" t="s">
        <v>14</v>
      </c>
      <c r="E352" s="10" t="s">
        <v>66</v>
      </c>
      <c r="F352" s="10" t="s">
        <v>41</v>
      </c>
      <c r="G352" s="10">
        <v>450</v>
      </c>
      <c r="H352" s="10">
        <v>600</v>
      </c>
      <c r="I352" s="10" t="s">
        <v>17</v>
      </c>
      <c r="J352" s="10" t="s">
        <v>1039</v>
      </c>
      <c r="K352" s="10">
        <v>2104</v>
      </c>
      <c r="L352" s="10">
        <v>1604</v>
      </c>
      <c r="M352" s="10">
        <v>1652</v>
      </c>
      <c r="N352" s="10">
        <v>5.24</v>
      </c>
      <c r="O352" s="10">
        <v>210</v>
      </c>
      <c r="P352" s="10">
        <v>1</v>
      </c>
      <c r="Q352" s="10" t="s">
        <v>71</v>
      </c>
      <c r="R352" s="10" t="s">
        <v>1038</v>
      </c>
      <c r="S352" s="10">
        <v>3310</v>
      </c>
      <c r="T352" s="10">
        <v>3100</v>
      </c>
      <c r="U352" s="14" t="s">
        <v>1403</v>
      </c>
    </row>
    <row r="353" spans="1:21" ht="15" x14ac:dyDescent="0.35">
      <c r="A353" s="9">
        <v>366</v>
      </c>
      <c r="B353" s="10" t="s">
        <v>72</v>
      </c>
      <c r="C353" s="10" t="s">
        <v>13</v>
      </c>
      <c r="D353" s="10" t="s">
        <v>14</v>
      </c>
      <c r="E353" s="10" t="s">
        <v>73</v>
      </c>
      <c r="F353" s="10" t="s">
        <v>16</v>
      </c>
      <c r="G353" s="10">
        <v>450</v>
      </c>
      <c r="H353" s="10">
        <v>600</v>
      </c>
      <c r="I353" s="10" t="s">
        <v>17</v>
      </c>
      <c r="J353" s="10" t="s">
        <v>1040</v>
      </c>
      <c r="K353" s="10">
        <v>2359</v>
      </c>
      <c r="L353" s="10">
        <v>1604</v>
      </c>
      <c r="M353" s="10">
        <v>1652</v>
      </c>
      <c r="N353" s="10">
        <v>6.25</v>
      </c>
      <c r="O353" s="10">
        <v>230</v>
      </c>
      <c r="P353" s="10">
        <v>1</v>
      </c>
      <c r="Q353" s="10" t="s">
        <v>60</v>
      </c>
      <c r="R353" s="10" t="s">
        <v>1038</v>
      </c>
      <c r="S353" s="10">
        <v>3830</v>
      </c>
      <c r="T353" s="10">
        <v>3600</v>
      </c>
      <c r="U353" s="14" t="s">
        <v>1403</v>
      </c>
    </row>
    <row r="354" spans="1:21" ht="15" x14ac:dyDescent="0.35">
      <c r="A354" s="9">
        <v>367</v>
      </c>
      <c r="B354" s="10" t="s">
        <v>164</v>
      </c>
      <c r="C354" s="10" t="s">
        <v>165</v>
      </c>
      <c r="D354" s="10" t="s">
        <v>75</v>
      </c>
      <c r="E354" s="10" t="s">
        <v>166</v>
      </c>
      <c r="F354" s="10" t="s">
        <v>16</v>
      </c>
      <c r="G354" s="10">
        <v>350</v>
      </c>
      <c r="H354" s="10">
        <v>1000</v>
      </c>
      <c r="I354" s="10" t="s">
        <v>24</v>
      </c>
      <c r="J354" s="10" t="s">
        <v>1041</v>
      </c>
      <c r="K354" s="10">
        <v>2160</v>
      </c>
      <c r="L354" s="10">
        <v>1524</v>
      </c>
      <c r="M354" s="10">
        <v>1767</v>
      </c>
      <c r="N354" s="10">
        <v>5.82</v>
      </c>
      <c r="O354" s="10">
        <v>205</v>
      </c>
      <c r="P354" s="10">
        <v>1</v>
      </c>
      <c r="Q354" s="10" t="s">
        <v>168</v>
      </c>
      <c r="R354" s="10" t="s">
        <v>1042</v>
      </c>
      <c r="S354" s="10">
        <v>4010</v>
      </c>
      <c r="T354" s="10">
        <v>3805</v>
      </c>
      <c r="U354" s="14" t="s">
        <v>1403</v>
      </c>
    </row>
    <row r="355" spans="1:21" ht="15" x14ac:dyDescent="0.35">
      <c r="A355" s="9">
        <v>368</v>
      </c>
      <c r="B355" s="10" t="s">
        <v>184</v>
      </c>
      <c r="C355" s="10" t="s">
        <v>178</v>
      </c>
      <c r="D355" s="10" t="s">
        <v>179</v>
      </c>
      <c r="E355" s="10" t="s">
        <v>180</v>
      </c>
      <c r="F355" s="10" t="s">
        <v>41</v>
      </c>
      <c r="G355" s="10">
        <v>500</v>
      </c>
      <c r="H355" s="10">
        <v>750</v>
      </c>
      <c r="I355" s="10" t="s">
        <v>17</v>
      </c>
      <c r="J355" s="10" t="s">
        <v>1043</v>
      </c>
      <c r="K355" s="10">
        <v>2308</v>
      </c>
      <c r="L355" s="10">
        <v>1644</v>
      </c>
      <c r="M355" s="10">
        <v>1772</v>
      </c>
      <c r="N355" s="10">
        <v>6.72</v>
      </c>
      <c r="O355" s="10">
        <v>213</v>
      </c>
      <c r="P355" s="10">
        <v>1</v>
      </c>
      <c r="Q355" s="10" t="s">
        <v>186</v>
      </c>
      <c r="R355" s="10" t="s">
        <v>1044</v>
      </c>
      <c r="S355" s="10">
        <v>3913</v>
      </c>
      <c r="T355" s="10">
        <v>3700</v>
      </c>
      <c r="U355" s="14" t="s">
        <v>1403</v>
      </c>
    </row>
    <row r="356" spans="1:21" ht="15" x14ac:dyDescent="0.35">
      <c r="A356" s="9">
        <v>369</v>
      </c>
      <c r="B356" s="10" t="s">
        <v>188</v>
      </c>
      <c r="C356" s="10" t="s">
        <v>178</v>
      </c>
      <c r="D356" s="10" t="s">
        <v>179</v>
      </c>
      <c r="E356" s="10" t="s">
        <v>189</v>
      </c>
      <c r="F356" s="10" t="s">
        <v>41</v>
      </c>
      <c r="G356" s="10">
        <v>310</v>
      </c>
      <c r="H356" s="10">
        <v>1000</v>
      </c>
      <c r="I356" s="10" t="s">
        <v>17</v>
      </c>
      <c r="J356" s="10" t="s">
        <v>1045</v>
      </c>
      <c r="K356" s="10">
        <v>2204</v>
      </c>
      <c r="L356" s="10">
        <v>1404</v>
      </c>
      <c r="M356" s="10">
        <v>1790</v>
      </c>
      <c r="N356" s="10">
        <v>5.54</v>
      </c>
      <c r="O356" s="10">
        <v>188</v>
      </c>
      <c r="P356" s="10">
        <v>1</v>
      </c>
      <c r="Q356" s="10" t="s">
        <v>191</v>
      </c>
      <c r="R356" s="10" t="s">
        <v>1046</v>
      </c>
      <c r="S356" s="10">
        <v>4388</v>
      </c>
      <c r="T356" s="10">
        <v>4200</v>
      </c>
      <c r="U356" s="14" t="s">
        <v>1403</v>
      </c>
    </row>
    <row r="357" spans="1:21" ht="15" x14ac:dyDescent="0.35">
      <c r="A357" s="9">
        <v>370</v>
      </c>
      <c r="B357" s="10" t="s">
        <v>207</v>
      </c>
      <c r="C357" s="10" t="s">
        <v>178</v>
      </c>
      <c r="D357" s="10" t="s">
        <v>179</v>
      </c>
      <c r="E357" s="10" t="s">
        <v>208</v>
      </c>
      <c r="F357" s="10" t="s">
        <v>41</v>
      </c>
      <c r="G357" s="10">
        <v>310</v>
      </c>
      <c r="H357" s="10">
        <v>1000</v>
      </c>
      <c r="I357" s="10" t="s">
        <v>17</v>
      </c>
      <c r="J357" s="10" t="s">
        <v>1047</v>
      </c>
      <c r="K357" s="10">
        <v>2104</v>
      </c>
      <c r="L357" s="10">
        <v>1404</v>
      </c>
      <c r="M357" s="10">
        <v>1790</v>
      </c>
      <c r="N357" s="10">
        <v>5.29</v>
      </c>
      <c r="O357" s="10">
        <v>188</v>
      </c>
      <c r="P357" s="10">
        <v>1</v>
      </c>
      <c r="Q357" s="10" t="s">
        <v>210</v>
      </c>
      <c r="R357" s="10" t="s">
        <v>1046</v>
      </c>
      <c r="S357" s="10">
        <v>3988</v>
      </c>
      <c r="T357" s="10">
        <v>3800</v>
      </c>
      <c r="U357" s="14" t="s">
        <v>1403</v>
      </c>
    </row>
    <row r="358" spans="1:21" ht="15" x14ac:dyDescent="0.35">
      <c r="A358" s="9">
        <v>371</v>
      </c>
      <c r="B358" s="10" t="s">
        <v>211</v>
      </c>
      <c r="C358" s="10" t="s">
        <v>178</v>
      </c>
      <c r="D358" s="10" t="s">
        <v>179</v>
      </c>
      <c r="E358" s="10" t="s">
        <v>29</v>
      </c>
      <c r="F358" s="10" t="s">
        <v>16</v>
      </c>
      <c r="G358" s="10">
        <v>500</v>
      </c>
      <c r="H358" s="10">
        <v>750</v>
      </c>
      <c r="I358" s="10" t="s">
        <v>24</v>
      </c>
      <c r="J358" s="10" t="s">
        <v>1048</v>
      </c>
      <c r="K358" s="10">
        <v>3084</v>
      </c>
      <c r="L358" s="10">
        <v>2094</v>
      </c>
      <c r="M358" s="10">
        <v>2452</v>
      </c>
      <c r="N358" s="10">
        <v>15.83</v>
      </c>
      <c r="O358" s="10">
        <v>500</v>
      </c>
      <c r="P358" s="10">
        <v>1</v>
      </c>
      <c r="Q358" s="10" t="s">
        <v>213</v>
      </c>
      <c r="R358" s="10" t="s">
        <v>1049</v>
      </c>
      <c r="S358" s="10">
        <v>5650</v>
      </c>
      <c r="T358" s="10">
        <v>5150</v>
      </c>
      <c r="U358" s="14" t="s">
        <v>1403</v>
      </c>
    </row>
    <row r="359" spans="1:21" ht="15" x14ac:dyDescent="0.35">
      <c r="A359" s="9">
        <v>372</v>
      </c>
      <c r="B359" s="10" t="s">
        <v>261</v>
      </c>
      <c r="C359" s="10" t="s">
        <v>178</v>
      </c>
      <c r="D359" s="10" t="s">
        <v>179</v>
      </c>
      <c r="E359" s="10" t="s">
        <v>241</v>
      </c>
      <c r="F359" s="10" t="s">
        <v>41</v>
      </c>
      <c r="G359" s="10">
        <v>500</v>
      </c>
      <c r="H359" s="10">
        <v>750</v>
      </c>
      <c r="I359" s="10" t="s">
        <v>17</v>
      </c>
      <c r="J359" s="10" t="s">
        <v>1050</v>
      </c>
      <c r="K359" s="10">
        <v>2704</v>
      </c>
      <c r="L359" s="10">
        <v>1604</v>
      </c>
      <c r="M359" s="10">
        <v>1922</v>
      </c>
      <c r="N359" s="10">
        <v>8.34</v>
      </c>
      <c r="O359" s="10">
        <v>180</v>
      </c>
      <c r="P359" s="10">
        <v>1</v>
      </c>
      <c r="Q359" s="10" t="s">
        <v>263</v>
      </c>
      <c r="R359" s="10" t="s">
        <v>1051</v>
      </c>
      <c r="S359" s="10">
        <v>5980</v>
      </c>
      <c r="T359" s="10">
        <v>5800</v>
      </c>
      <c r="U359" s="14" t="s">
        <v>1403</v>
      </c>
    </row>
    <row r="360" spans="1:21" ht="15" x14ac:dyDescent="0.35">
      <c r="A360" s="9">
        <v>373</v>
      </c>
      <c r="B360" s="10" t="s">
        <v>275</v>
      </c>
      <c r="C360" s="10" t="s">
        <v>178</v>
      </c>
      <c r="D360" s="10" t="s">
        <v>179</v>
      </c>
      <c r="E360" s="10" t="s">
        <v>271</v>
      </c>
      <c r="F360" s="10" t="s">
        <v>16</v>
      </c>
      <c r="G360" s="10">
        <v>500</v>
      </c>
      <c r="H360" s="10">
        <v>750</v>
      </c>
      <c r="I360" s="10" t="s">
        <v>24</v>
      </c>
      <c r="J360" s="10" t="s">
        <v>1052</v>
      </c>
      <c r="K360" s="10">
        <v>3434</v>
      </c>
      <c r="L360" s="10">
        <v>2344</v>
      </c>
      <c r="M360" s="10">
        <v>2180</v>
      </c>
      <c r="N360" s="10">
        <v>17.55</v>
      </c>
      <c r="O360" s="10">
        <v>377</v>
      </c>
      <c r="P360" s="10">
        <v>1</v>
      </c>
      <c r="Q360" s="10" t="s">
        <v>277</v>
      </c>
      <c r="R360" s="10" t="s">
        <v>1053</v>
      </c>
      <c r="S360" s="10">
        <v>7627</v>
      </c>
      <c r="T360" s="10">
        <v>7250</v>
      </c>
      <c r="U360" s="14" t="s">
        <v>1403</v>
      </c>
    </row>
    <row r="361" spans="1:21" ht="15" x14ac:dyDescent="0.35">
      <c r="A361" s="9">
        <v>374</v>
      </c>
      <c r="B361" s="10" t="s">
        <v>301</v>
      </c>
      <c r="C361" s="10" t="s">
        <v>178</v>
      </c>
      <c r="D361" s="10" t="s">
        <v>179</v>
      </c>
      <c r="E361" s="10" t="s">
        <v>296</v>
      </c>
      <c r="F361" s="10" t="s">
        <v>41</v>
      </c>
      <c r="G361" s="10">
        <v>500</v>
      </c>
      <c r="H361" s="10">
        <v>750</v>
      </c>
      <c r="I361" s="10" t="s">
        <v>17</v>
      </c>
      <c r="J361" s="10" t="s">
        <v>1054</v>
      </c>
      <c r="K361" s="10">
        <v>2608</v>
      </c>
      <c r="L361" s="10">
        <v>1644</v>
      </c>
      <c r="M361" s="10">
        <v>1772</v>
      </c>
      <c r="N361" s="10">
        <v>7.6</v>
      </c>
      <c r="O361" s="10">
        <v>237</v>
      </c>
      <c r="P361" s="10">
        <v>1</v>
      </c>
      <c r="Q361" s="10" t="s">
        <v>290</v>
      </c>
      <c r="R361" s="10" t="s">
        <v>1044</v>
      </c>
      <c r="S361" s="10">
        <v>5227</v>
      </c>
      <c r="T361" s="10">
        <v>4990</v>
      </c>
      <c r="U361" s="14" t="s">
        <v>1403</v>
      </c>
    </row>
    <row r="362" spans="1:21" ht="15" x14ac:dyDescent="0.35">
      <c r="A362" s="9">
        <v>375</v>
      </c>
      <c r="B362" s="10" t="s">
        <v>453</v>
      </c>
      <c r="C362" s="10" t="s">
        <v>2</v>
      </c>
      <c r="D362" s="10" t="s">
        <v>436</v>
      </c>
      <c r="E362" s="10" t="s">
        <v>454</v>
      </c>
      <c r="F362" s="10" t="s">
        <v>16</v>
      </c>
      <c r="G362" s="10">
        <v>500</v>
      </c>
      <c r="H362" s="10">
        <v>1150</v>
      </c>
      <c r="I362" s="10" t="s">
        <v>24</v>
      </c>
      <c r="J362" s="10" t="s">
        <v>1055</v>
      </c>
      <c r="K362" s="10">
        <v>2980</v>
      </c>
      <c r="L362" s="10">
        <v>1804</v>
      </c>
      <c r="M362" s="10">
        <v>1982</v>
      </c>
      <c r="N362" s="10">
        <v>10.66</v>
      </c>
      <c r="O362" s="10">
        <v>264</v>
      </c>
      <c r="P362" s="10">
        <v>1</v>
      </c>
      <c r="Q362" s="10" t="s">
        <v>456</v>
      </c>
      <c r="R362" s="10" t="s">
        <v>1056</v>
      </c>
      <c r="S362" s="10">
        <v>6812</v>
      </c>
      <c r="T362" s="10">
        <v>6548</v>
      </c>
      <c r="U362" s="14" t="s">
        <v>1403</v>
      </c>
    </row>
    <row r="363" spans="1:21" ht="15" x14ac:dyDescent="0.35">
      <c r="A363" s="9">
        <v>376</v>
      </c>
      <c r="B363" s="10" t="s">
        <v>467</v>
      </c>
      <c r="C363" s="10" t="s">
        <v>2</v>
      </c>
      <c r="D363" s="10" t="s">
        <v>436</v>
      </c>
      <c r="E363" s="10" t="s">
        <v>459</v>
      </c>
      <c r="F363" s="10" t="s">
        <v>16</v>
      </c>
      <c r="G363" s="10">
        <v>500</v>
      </c>
      <c r="H363" s="10">
        <v>1150</v>
      </c>
      <c r="I363" s="10" t="s">
        <v>24</v>
      </c>
      <c r="J363" s="10" t="s">
        <v>1057</v>
      </c>
      <c r="K363" s="10">
        <v>3444</v>
      </c>
      <c r="L363" s="10">
        <v>1934</v>
      </c>
      <c r="M363" s="10">
        <v>2342</v>
      </c>
      <c r="N363" s="10">
        <v>15.6</v>
      </c>
      <c r="O363" s="10">
        <v>241</v>
      </c>
      <c r="P363" s="10">
        <v>1</v>
      </c>
      <c r="Q363" s="10" t="s">
        <v>469</v>
      </c>
      <c r="R363" s="10" t="s">
        <v>1058</v>
      </c>
      <c r="S363" s="10">
        <v>7536</v>
      </c>
      <c r="T363" s="10">
        <v>7295</v>
      </c>
      <c r="U363" s="14" t="s">
        <v>1403</v>
      </c>
    </row>
    <row r="364" spans="1:21" ht="15" x14ac:dyDescent="0.35">
      <c r="A364" s="9">
        <v>377</v>
      </c>
      <c r="B364" s="10" t="s">
        <v>526</v>
      </c>
      <c r="C364" s="10" t="s">
        <v>522</v>
      </c>
      <c r="D364" s="10" t="s">
        <v>436</v>
      </c>
      <c r="E364" s="10" t="s">
        <v>527</v>
      </c>
      <c r="F364" s="10" t="s">
        <v>16</v>
      </c>
      <c r="G364" s="10">
        <v>500</v>
      </c>
      <c r="H364" s="10">
        <v>1150</v>
      </c>
      <c r="I364" s="10" t="s">
        <v>17</v>
      </c>
      <c r="J364" s="10" t="s">
        <v>1059</v>
      </c>
      <c r="K364" s="10">
        <v>2900</v>
      </c>
      <c r="L364" s="10">
        <v>1480</v>
      </c>
      <c r="M364" s="10">
        <v>1912</v>
      </c>
      <c r="N364" s="10">
        <v>8.2100000000000009</v>
      </c>
      <c r="O364" s="10">
        <v>265</v>
      </c>
      <c r="P364" s="10">
        <v>1</v>
      </c>
      <c r="Q364" s="10" t="s">
        <v>529</v>
      </c>
      <c r="R364" s="10" t="s">
        <v>1060</v>
      </c>
      <c r="S364" s="10">
        <v>6105</v>
      </c>
      <c r="T364" s="10">
        <v>5840</v>
      </c>
      <c r="U364" s="14" t="s">
        <v>1403</v>
      </c>
    </row>
    <row r="365" spans="1:21" ht="15" x14ac:dyDescent="0.35">
      <c r="A365" s="9">
        <v>378</v>
      </c>
      <c r="B365" s="10" t="s">
        <v>530</v>
      </c>
      <c r="C365" s="10" t="s">
        <v>522</v>
      </c>
      <c r="D365" s="10" t="s">
        <v>436</v>
      </c>
      <c r="E365" s="10" t="s">
        <v>454</v>
      </c>
      <c r="F365" s="10" t="s">
        <v>16</v>
      </c>
      <c r="G365" s="10">
        <v>500</v>
      </c>
      <c r="H365" s="10">
        <v>1150</v>
      </c>
      <c r="I365" s="10" t="s">
        <v>17</v>
      </c>
      <c r="J365" s="10" t="s">
        <v>1059</v>
      </c>
      <c r="K365" s="10">
        <v>2900</v>
      </c>
      <c r="L365" s="10">
        <v>1480</v>
      </c>
      <c r="M365" s="10">
        <v>1912</v>
      </c>
      <c r="N365" s="10">
        <v>8.2100000000000009</v>
      </c>
      <c r="O365" s="10">
        <v>265</v>
      </c>
      <c r="P365" s="10">
        <v>1</v>
      </c>
      <c r="Q365" s="10" t="s">
        <v>529</v>
      </c>
      <c r="R365" s="10" t="s">
        <v>1060</v>
      </c>
      <c r="S365" s="10">
        <v>6435</v>
      </c>
      <c r="T365" s="10">
        <v>6170</v>
      </c>
      <c r="U365" s="14" t="s">
        <v>1403</v>
      </c>
    </row>
    <row r="366" spans="1:21" ht="15" x14ac:dyDescent="0.35">
      <c r="A366" s="9">
        <v>379</v>
      </c>
      <c r="B366" s="10" t="s">
        <v>531</v>
      </c>
      <c r="C366" s="10" t="s">
        <v>522</v>
      </c>
      <c r="D366" s="10" t="s">
        <v>436</v>
      </c>
      <c r="E366" s="10" t="s">
        <v>454</v>
      </c>
      <c r="F366" s="10" t="s">
        <v>41</v>
      </c>
      <c r="G366" s="10">
        <v>500</v>
      </c>
      <c r="H366" s="10">
        <v>1150</v>
      </c>
      <c r="I366" s="10" t="s">
        <v>17</v>
      </c>
      <c r="J366" s="10" t="s">
        <v>1059</v>
      </c>
      <c r="K366" s="10">
        <v>2900</v>
      </c>
      <c r="L366" s="10">
        <v>1480</v>
      </c>
      <c r="M366" s="10">
        <v>1912</v>
      </c>
      <c r="N366" s="10">
        <v>8.2100000000000009</v>
      </c>
      <c r="O366" s="10">
        <v>266</v>
      </c>
      <c r="P366" s="10">
        <v>1</v>
      </c>
      <c r="Q366" s="10" t="s">
        <v>529</v>
      </c>
      <c r="R366" s="10" t="s">
        <v>1060</v>
      </c>
      <c r="S366" s="10">
        <v>6326</v>
      </c>
      <c r="T366" s="10">
        <v>6060</v>
      </c>
      <c r="U366" s="14" t="s">
        <v>1403</v>
      </c>
    </row>
    <row r="367" spans="1:21" ht="15" x14ac:dyDescent="0.35">
      <c r="A367" s="9">
        <v>380</v>
      </c>
      <c r="B367" s="10" t="s">
        <v>536</v>
      </c>
      <c r="C367" s="10" t="s">
        <v>522</v>
      </c>
      <c r="D367" s="10" t="s">
        <v>436</v>
      </c>
      <c r="E367" s="10" t="s">
        <v>459</v>
      </c>
      <c r="F367" s="10" t="s">
        <v>41</v>
      </c>
      <c r="G367" s="10">
        <v>500</v>
      </c>
      <c r="H367" s="10">
        <v>1150</v>
      </c>
      <c r="I367" s="10" t="s">
        <v>17</v>
      </c>
      <c r="J367" s="10" t="s">
        <v>1059</v>
      </c>
      <c r="K367" s="10">
        <v>2900</v>
      </c>
      <c r="L367" s="10">
        <v>1480</v>
      </c>
      <c r="M367" s="10">
        <v>1912</v>
      </c>
      <c r="N367" s="10">
        <v>8.2100000000000009</v>
      </c>
      <c r="O367" s="10">
        <v>265</v>
      </c>
      <c r="P367" s="10">
        <v>1</v>
      </c>
      <c r="Q367" s="10" t="s">
        <v>529</v>
      </c>
      <c r="R367" s="10" t="s">
        <v>1060</v>
      </c>
      <c r="S367" s="10">
        <v>6365</v>
      </c>
      <c r="T367" s="10">
        <v>6100</v>
      </c>
      <c r="U367" s="14" t="s">
        <v>1403</v>
      </c>
    </row>
    <row r="368" spans="1:21" ht="15" x14ac:dyDescent="0.35">
      <c r="A368" s="9">
        <v>381</v>
      </c>
      <c r="B368" s="10" t="s">
        <v>537</v>
      </c>
      <c r="C368" s="10" t="s">
        <v>522</v>
      </c>
      <c r="D368" s="10" t="s">
        <v>436</v>
      </c>
      <c r="E368" s="10" t="s">
        <v>472</v>
      </c>
      <c r="F368" s="10" t="s">
        <v>16</v>
      </c>
      <c r="G368" s="10">
        <v>500</v>
      </c>
      <c r="H368" s="10">
        <v>1150</v>
      </c>
      <c r="I368" s="10" t="s">
        <v>17</v>
      </c>
      <c r="J368" s="10" t="s">
        <v>1061</v>
      </c>
      <c r="K368" s="10">
        <v>2800</v>
      </c>
      <c r="L368" s="10">
        <v>1480</v>
      </c>
      <c r="M368" s="10">
        <v>1912</v>
      </c>
      <c r="N368" s="10">
        <v>7.92</v>
      </c>
      <c r="O368" s="10">
        <v>259</v>
      </c>
      <c r="P368" s="10">
        <v>1</v>
      </c>
      <c r="Q368" s="10" t="s">
        <v>474</v>
      </c>
      <c r="R368" s="10" t="s">
        <v>1060</v>
      </c>
      <c r="S368" s="10">
        <v>6259</v>
      </c>
      <c r="T368" s="10">
        <v>6000</v>
      </c>
      <c r="U368" s="14" t="s">
        <v>1403</v>
      </c>
    </row>
    <row r="369" spans="1:21" ht="15" x14ac:dyDescent="0.35">
      <c r="A369" s="9">
        <v>382</v>
      </c>
      <c r="B369" s="10" t="s">
        <v>538</v>
      </c>
      <c r="C369" s="10" t="s">
        <v>522</v>
      </c>
      <c r="D369" s="10" t="s">
        <v>436</v>
      </c>
      <c r="E369" s="10" t="s">
        <v>481</v>
      </c>
      <c r="F369" s="10" t="s">
        <v>16</v>
      </c>
      <c r="G369" s="10">
        <v>500</v>
      </c>
      <c r="H369" s="10">
        <v>1150</v>
      </c>
      <c r="I369" s="10" t="s">
        <v>17</v>
      </c>
      <c r="J369" s="10" t="s">
        <v>1061</v>
      </c>
      <c r="K369" s="10">
        <v>2800</v>
      </c>
      <c r="L369" s="10">
        <v>1480</v>
      </c>
      <c r="M369" s="10">
        <v>1912</v>
      </c>
      <c r="N369" s="10">
        <v>7.92</v>
      </c>
      <c r="O369" s="10">
        <v>270</v>
      </c>
      <c r="P369" s="10">
        <v>1</v>
      </c>
      <c r="Q369" s="10" t="s">
        <v>474</v>
      </c>
      <c r="R369" s="10" t="s">
        <v>1060</v>
      </c>
      <c r="S369" s="10">
        <v>6100</v>
      </c>
      <c r="T369" s="10">
        <v>5830</v>
      </c>
      <c r="U369" s="14" t="s">
        <v>1403</v>
      </c>
    </row>
    <row r="370" spans="1:21" ht="15" x14ac:dyDescent="0.35">
      <c r="A370" s="9">
        <v>383</v>
      </c>
      <c r="B370" s="10" t="s">
        <v>541</v>
      </c>
      <c r="C370" s="10" t="s">
        <v>522</v>
      </c>
      <c r="D370" s="10" t="s">
        <v>436</v>
      </c>
      <c r="E370" s="10" t="s">
        <v>542</v>
      </c>
      <c r="F370" s="10" t="s">
        <v>16</v>
      </c>
      <c r="G370" s="10">
        <v>500</v>
      </c>
      <c r="H370" s="10">
        <v>1150</v>
      </c>
      <c r="I370" s="10" t="s">
        <v>17</v>
      </c>
      <c r="J370" s="10" t="s">
        <v>1062</v>
      </c>
      <c r="K370" s="10">
        <v>3200</v>
      </c>
      <c r="L370" s="10">
        <v>1480</v>
      </c>
      <c r="M370" s="10">
        <v>1912</v>
      </c>
      <c r="N370" s="10">
        <v>9.06</v>
      </c>
      <c r="O370" s="10">
        <v>285</v>
      </c>
      <c r="P370" s="10">
        <v>1</v>
      </c>
      <c r="Q370" s="10" t="s">
        <v>543</v>
      </c>
      <c r="R370" s="10" t="s">
        <v>1060</v>
      </c>
      <c r="S370" s="10">
        <v>6365</v>
      </c>
      <c r="T370" s="10">
        <v>6080</v>
      </c>
      <c r="U370" s="14" t="s">
        <v>1403</v>
      </c>
    </row>
    <row r="371" spans="1:21" ht="15" x14ac:dyDescent="0.35">
      <c r="A371" s="9">
        <v>384</v>
      </c>
      <c r="B371" s="10" t="s">
        <v>550</v>
      </c>
      <c r="C371" s="10" t="s">
        <v>522</v>
      </c>
      <c r="D371" s="10" t="s">
        <v>436</v>
      </c>
      <c r="E371" s="10" t="s">
        <v>485</v>
      </c>
      <c r="F371" s="10" t="s">
        <v>16</v>
      </c>
      <c r="G371" s="10">
        <v>500</v>
      </c>
      <c r="H371" s="10">
        <v>1150</v>
      </c>
      <c r="I371" s="10" t="s">
        <v>17</v>
      </c>
      <c r="J371" s="10" t="s">
        <v>1062</v>
      </c>
      <c r="K371" s="10">
        <v>3200</v>
      </c>
      <c r="L371" s="10">
        <v>1480</v>
      </c>
      <c r="M371" s="10">
        <v>1912</v>
      </c>
      <c r="N371" s="10">
        <v>9.06</v>
      </c>
      <c r="O371" s="10">
        <v>285</v>
      </c>
      <c r="P371" s="10">
        <v>1</v>
      </c>
      <c r="Q371" s="10" t="s">
        <v>543</v>
      </c>
      <c r="R371" s="10" t="s">
        <v>1060</v>
      </c>
      <c r="S371" s="10">
        <v>6785</v>
      </c>
      <c r="T371" s="10">
        <v>6500</v>
      </c>
      <c r="U371" s="14" t="s">
        <v>1403</v>
      </c>
    </row>
    <row r="372" spans="1:21" ht="15" x14ac:dyDescent="0.35">
      <c r="A372" s="9">
        <v>385</v>
      </c>
      <c r="B372" s="10" t="s">
        <v>556</v>
      </c>
      <c r="C372" s="10" t="s">
        <v>522</v>
      </c>
      <c r="D372" s="10" t="s">
        <v>436</v>
      </c>
      <c r="E372" s="10" t="s">
        <v>554</v>
      </c>
      <c r="F372" s="10" t="s">
        <v>41</v>
      </c>
      <c r="G372" s="10">
        <v>500</v>
      </c>
      <c r="H372" s="10">
        <v>1150</v>
      </c>
      <c r="I372" s="10" t="s">
        <v>17</v>
      </c>
      <c r="J372" s="10" t="s">
        <v>1063</v>
      </c>
      <c r="K372" s="10">
        <v>3100</v>
      </c>
      <c r="L372" s="10">
        <v>1480</v>
      </c>
      <c r="M372" s="10">
        <v>1912</v>
      </c>
      <c r="N372" s="10">
        <v>8.77</v>
      </c>
      <c r="O372" s="10">
        <v>278</v>
      </c>
      <c r="P372" s="10">
        <v>1</v>
      </c>
      <c r="Q372" s="10" t="s">
        <v>555</v>
      </c>
      <c r="R372" s="10" t="s">
        <v>1060</v>
      </c>
      <c r="S372" s="10">
        <v>6328</v>
      </c>
      <c r="T372" s="10">
        <v>6050</v>
      </c>
      <c r="U372" s="14" t="s">
        <v>1403</v>
      </c>
    </row>
    <row r="373" spans="1:21" ht="15" x14ac:dyDescent="0.35">
      <c r="A373" s="9">
        <v>386</v>
      </c>
      <c r="B373" s="10" t="s">
        <v>557</v>
      </c>
      <c r="C373" s="10" t="s">
        <v>522</v>
      </c>
      <c r="D373" s="10" t="s">
        <v>436</v>
      </c>
      <c r="E373" s="10" t="s">
        <v>236</v>
      </c>
      <c r="F373" s="10" t="s">
        <v>16</v>
      </c>
      <c r="G373" s="10">
        <v>500</v>
      </c>
      <c r="H373" s="10">
        <v>1150</v>
      </c>
      <c r="I373" s="10" t="s">
        <v>17</v>
      </c>
      <c r="J373" s="10" t="s">
        <v>1063</v>
      </c>
      <c r="K373" s="10">
        <v>3100</v>
      </c>
      <c r="L373" s="10">
        <v>1480</v>
      </c>
      <c r="M373" s="10">
        <v>1912</v>
      </c>
      <c r="N373" s="10">
        <v>8.77</v>
      </c>
      <c r="O373" s="10">
        <v>278</v>
      </c>
      <c r="P373" s="10">
        <v>1</v>
      </c>
      <c r="Q373" s="10" t="s">
        <v>555</v>
      </c>
      <c r="R373" s="10" t="s">
        <v>1060</v>
      </c>
      <c r="S373" s="10">
        <v>6623</v>
      </c>
      <c r="T373" s="10">
        <v>6345</v>
      </c>
      <c r="U373" s="14" t="s">
        <v>1403</v>
      </c>
    </row>
    <row r="374" spans="1:21" ht="15" x14ac:dyDescent="0.35">
      <c r="A374" s="9">
        <v>387</v>
      </c>
      <c r="B374" s="10" t="s">
        <v>622</v>
      </c>
      <c r="C374" s="10" t="s">
        <v>565</v>
      </c>
      <c r="D374" s="10" t="s">
        <v>566</v>
      </c>
      <c r="E374" s="10" t="s">
        <v>502</v>
      </c>
      <c r="F374" s="10" t="s">
        <v>16</v>
      </c>
      <c r="G374" s="10">
        <v>296</v>
      </c>
      <c r="H374" s="10">
        <v>1092</v>
      </c>
      <c r="I374" s="10" t="s">
        <v>17</v>
      </c>
      <c r="J374" s="10" t="s">
        <v>1064</v>
      </c>
      <c r="K374" s="10">
        <v>3184</v>
      </c>
      <c r="L374" s="10">
        <v>1696</v>
      </c>
      <c r="M374" s="10">
        <v>1902</v>
      </c>
      <c r="N374" s="10">
        <v>10.27</v>
      </c>
      <c r="O374" s="10">
        <v>490</v>
      </c>
      <c r="P374" s="10">
        <v>1</v>
      </c>
      <c r="Q374" s="10" t="s">
        <v>624</v>
      </c>
      <c r="R374" s="10" t="s">
        <v>1065</v>
      </c>
      <c r="S374" s="10">
        <v>6945</v>
      </c>
      <c r="T374" s="10">
        <v>6455</v>
      </c>
      <c r="U374" s="14" t="s">
        <v>1403</v>
      </c>
    </row>
    <row r="375" spans="1:21" ht="15" x14ac:dyDescent="0.35">
      <c r="A375" s="9">
        <v>388</v>
      </c>
      <c r="B375" s="10" t="s">
        <v>659</v>
      </c>
      <c r="C375" s="10" t="s">
        <v>657</v>
      </c>
      <c r="D375" s="10" t="s">
        <v>566</v>
      </c>
      <c r="E375" s="10" t="s">
        <v>660</v>
      </c>
      <c r="F375" s="10" t="s">
        <v>16</v>
      </c>
      <c r="G375" s="10">
        <v>296</v>
      </c>
      <c r="H375" s="10">
        <v>1092</v>
      </c>
      <c r="I375" s="10" t="s">
        <v>17</v>
      </c>
      <c r="J375" s="10" t="s">
        <v>1064</v>
      </c>
      <c r="K375" s="10">
        <v>3184</v>
      </c>
      <c r="L375" s="10">
        <v>1696</v>
      </c>
      <c r="M375" s="10">
        <v>1902</v>
      </c>
      <c r="N375" s="10">
        <v>10.27</v>
      </c>
      <c r="O375" s="10">
        <v>490</v>
      </c>
      <c r="P375" s="10">
        <v>1</v>
      </c>
      <c r="Q375" s="10" t="s">
        <v>624</v>
      </c>
      <c r="R375" s="10" t="s">
        <v>1065</v>
      </c>
      <c r="S375" s="10">
        <v>6820</v>
      </c>
      <c r="T375" s="10">
        <v>6330</v>
      </c>
      <c r="U375" s="14" t="s">
        <v>1403</v>
      </c>
    </row>
    <row r="376" spans="1:21" ht="15" x14ac:dyDescent="0.35">
      <c r="A376" s="9">
        <v>389</v>
      </c>
      <c r="B376" s="10" t="s">
        <v>661</v>
      </c>
      <c r="C376" s="10" t="s">
        <v>657</v>
      </c>
      <c r="D376" s="10" t="s">
        <v>566</v>
      </c>
      <c r="E376" s="10" t="s">
        <v>662</v>
      </c>
      <c r="F376" s="10" t="s">
        <v>16</v>
      </c>
      <c r="G376" s="10">
        <v>296</v>
      </c>
      <c r="H376" s="10">
        <v>1092</v>
      </c>
      <c r="I376" s="10" t="s">
        <v>17</v>
      </c>
      <c r="J376" s="10" t="s">
        <v>1064</v>
      </c>
      <c r="K376" s="10">
        <v>3184</v>
      </c>
      <c r="L376" s="10">
        <v>1696</v>
      </c>
      <c r="M376" s="10">
        <v>1902</v>
      </c>
      <c r="N376" s="10">
        <v>10.27</v>
      </c>
      <c r="O376" s="10">
        <v>490</v>
      </c>
      <c r="P376" s="10">
        <v>1</v>
      </c>
      <c r="Q376" s="10" t="s">
        <v>624</v>
      </c>
      <c r="R376" s="10" t="s">
        <v>1065</v>
      </c>
      <c r="S376" s="10">
        <v>6820</v>
      </c>
      <c r="T376" s="10">
        <v>6330</v>
      </c>
      <c r="U376" s="14" t="s">
        <v>1403</v>
      </c>
    </row>
    <row r="377" spans="1:21" ht="15" x14ac:dyDescent="0.35">
      <c r="A377" s="9">
        <v>390</v>
      </c>
      <c r="B377" s="10" t="s">
        <v>663</v>
      </c>
      <c r="C377" s="10" t="s">
        <v>657</v>
      </c>
      <c r="D377" s="10" t="s">
        <v>566</v>
      </c>
      <c r="E377" s="10" t="s">
        <v>664</v>
      </c>
      <c r="F377" s="10" t="s">
        <v>16</v>
      </c>
      <c r="G377" s="10">
        <v>296</v>
      </c>
      <c r="H377" s="10">
        <v>1092</v>
      </c>
      <c r="I377" s="10" t="s">
        <v>17</v>
      </c>
      <c r="J377" s="10" t="s">
        <v>1064</v>
      </c>
      <c r="K377" s="10">
        <v>3184</v>
      </c>
      <c r="L377" s="10">
        <v>1696</v>
      </c>
      <c r="M377" s="10">
        <v>1902</v>
      </c>
      <c r="N377" s="10">
        <v>10.27</v>
      </c>
      <c r="O377" s="10">
        <v>421</v>
      </c>
      <c r="P377" s="10">
        <v>1</v>
      </c>
      <c r="Q377" s="10" t="s">
        <v>624</v>
      </c>
      <c r="R377" s="10" t="s">
        <v>1065</v>
      </c>
      <c r="S377" s="10">
        <v>6376</v>
      </c>
      <c r="T377" s="10">
        <v>5955</v>
      </c>
      <c r="U377" s="14" t="s">
        <v>1403</v>
      </c>
    </row>
    <row r="378" spans="1:21" ht="15" x14ac:dyDescent="0.35">
      <c r="A378" s="9">
        <v>391</v>
      </c>
      <c r="B378" s="10" t="s">
        <v>665</v>
      </c>
      <c r="C378" s="10" t="s">
        <v>0</v>
      </c>
      <c r="D378" s="10" t="s">
        <v>666</v>
      </c>
      <c r="E378" s="10" t="s">
        <v>29</v>
      </c>
      <c r="F378" s="10" t="s">
        <v>16</v>
      </c>
      <c r="G378" s="10">
        <v>500</v>
      </c>
      <c r="H378" s="10">
        <v>1150</v>
      </c>
      <c r="I378" s="10" t="s">
        <v>17</v>
      </c>
      <c r="J378" s="10" t="s">
        <v>1066</v>
      </c>
      <c r="K378" s="10">
        <v>3000</v>
      </c>
      <c r="L378" s="10">
        <v>1480</v>
      </c>
      <c r="M378" s="10">
        <v>1933</v>
      </c>
      <c r="N378" s="10">
        <v>8.58</v>
      </c>
      <c r="O378" s="10">
        <v>270</v>
      </c>
      <c r="P378" s="10">
        <v>1</v>
      </c>
      <c r="Q378" s="10" t="s">
        <v>668</v>
      </c>
      <c r="R378" s="10" t="s">
        <v>1060</v>
      </c>
      <c r="S378" s="10">
        <v>7770</v>
      </c>
      <c r="T378" s="10">
        <v>7500</v>
      </c>
      <c r="U378" s="14" t="s">
        <v>1403</v>
      </c>
    </row>
    <row r="379" spans="1:21" ht="15" x14ac:dyDescent="0.35">
      <c r="A379" s="9">
        <v>392</v>
      </c>
      <c r="B379" s="10" t="s">
        <v>669</v>
      </c>
      <c r="C379" s="10" t="s">
        <v>0</v>
      </c>
      <c r="D379" s="10" t="s">
        <v>666</v>
      </c>
      <c r="E379" s="10" t="s">
        <v>527</v>
      </c>
      <c r="F379" s="10" t="s">
        <v>16</v>
      </c>
      <c r="G379" s="10">
        <v>500</v>
      </c>
      <c r="H379" s="10">
        <v>1150</v>
      </c>
      <c r="I379" s="10" t="s">
        <v>17</v>
      </c>
      <c r="J379" s="10" t="s">
        <v>1059</v>
      </c>
      <c r="K379" s="10">
        <v>2900</v>
      </c>
      <c r="L379" s="10">
        <v>1480</v>
      </c>
      <c r="M379" s="10">
        <v>1912</v>
      </c>
      <c r="N379" s="10">
        <v>8.2100000000000009</v>
      </c>
      <c r="O379" s="10">
        <v>265</v>
      </c>
      <c r="P379" s="10">
        <v>1</v>
      </c>
      <c r="Q379" s="10" t="s">
        <v>529</v>
      </c>
      <c r="R379" s="10" t="s">
        <v>1060</v>
      </c>
      <c r="S379" s="10">
        <v>7915</v>
      </c>
      <c r="T379" s="10">
        <v>7650</v>
      </c>
      <c r="U379" s="14" t="s">
        <v>1403</v>
      </c>
    </row>
    <row r="380" spans="1:21" ht="15" x14ac:dyDescent="0.35">
      <c r="A380" s="9">
        <v>393</v>
      </c>
      <c r="B380" s="10" t="s">
        <v>671</v>
      </c>
      <c r="C380" s="10" t="s">
        <v>0</v>
      </c>
      <c r="D380" s="10" t="s">
        <v>666</v>
      </c>
      <c r="E380" s="10" t="s">
        <v>527</v>
      </c>
      <c r="F380" s="10" t="s">
        <v>41</v>
      </c>
      <c r="G380" s="10">
        <v>500</v>
      </c>
      <c r="H380" s="10">
        <v>1150</v>
      </c>
      <c r="I380" s="10" t="s">
        <v>17</v>
      </c>
      <c r="J380" s="10" t="s">
        <v>1059</v>
      </c>
      <c r="K380" s="10">
        <v>2900</v>
      </c>
      <c r="L380" s="10">
        <v>1480</v>
      </c>
      <c r="M380" s="10">
        <v>1912</v>
      </c>
      <c r="N380" s="10">
        <v>8.2100000000000009</v>
      </c>
      <c r="O380" s="10">
        <v>266</v>
      </c>
      <c r="P380" s="10">
        <v>1</v>
      </c>
      <c r="Q380" s="10" t="s">
        <v>529</v>
      </c>
      <c r="R380" s="10" t="s">
        <v>1060</v>
      </c>
      <c r="S380" s="10">
        <v>7286</v>
      </c>
      <c r="T380" s="10">
        <v>7020</v>
      </c>
      <c r="U380" s="14" t="s">
        <v>1403</v>
      </c>
    </row>
    <row r="381" spans="1:21" ht="15" x14ac:dyDescent="0.35">
      <c r="A381" s="9">
        <v>394</v>
      </c>
      <c r="B381" s="10" t="s">
        <v>672</v>
      </c>
      <c r="C381" s="10" t="s">
        <v>0</v>
      </c>
      <c r="D381" s="10" t="s">
        <v>666</v>
      </c>
      <c r="E381" s="10" t="s">
        <v>454</v>
      </c>
      <c r="F381" s="10" t="s">
        <v>16</v>
      </c>
      <c r="G381" s="10">
        <v>610</v>
      </c>
      <c r="H381" s="10">
        <v>1310</v>
      </c>
      <c r="I381" s="10" t="s">
        <v>24</v>
      </c>
      <c r="J381" s="10" t="s">
        <v>1067</v>
      </c>
      <c r="K381" s="10">
        <v>3414</v>
      </c>
      <c r="L381" s="10">
        <v>2234</v>
      </c>
      <c r="M381" s="10">
        <v>2467</v>
      </c>
      <c r="N381" s="10">
        <v>18.82</v>
      </c>
      <c r="O381" s="10">
        <v>407</v>
      </c>
      <c r="P381" s="10">
        <v>1</v>
      </c>
      <c r="Q381" s="10" t="s">
        <v>674</v>
      </c>
      <c r="R381" s="10" t="s">
        <v>1068</v>
      </c>
      <c r="S381" s="10">
        <v>9207</v>
      </c>
      <c r="T381" s="10">
        <v>8800</v>
      </c>
      <c r="U381" s="14" t="s">
        <v>1403</v>
      </c>
    </row>
    <row r="382" spans="1:21" ht="15" x14ac:dyDescent="0.35">
      <c r="A382" s="9">
        <v>395</v>
      </c>
      <c r="B382" s="10" t="s">
        <v>676</v>
      </c>
      <c r="C382" s="10" t="s">
        <v>0</v>
      </c>
      <c r="D382" s="10" t="s">
        <v>666</v>
      </c>
      <c r="E382" s="10" t="s">
        <v>677</v>
      </c>
      <c r="F382" s="10" t="s">
        <v>41</v>
      </c>
      <c r="G382" s="10">
        <v>500</v>
      </c>
      <c r="H382" s="10">
        <v>1150</v>
      </c>
      <c r="I382" s="10" t="s">
        <v>17</v>
      </c>
      <c r="J382" s="10" t="s">
        <v>1059</v>
      </c>
      <c r="K382" s="10">
        <v>2900</v>
      </c>
      <c r="L382" s="10">
        <v>1480</v>
      </c>
      <c r="M382" s="10">
        <v>1912</v>
      </c>
      <c r="N382" s="10">
        <v>8.2100000000000009</v>
      </c>
      <c r="O382" s="10">
        <v>266</v>
      </c>
      <c r="P382" s="10">
        <v>1</v>
      </c>
      <c r="Q382" s="10" t="s">
        <v>529</v>
      </c>
      <c r="R382" s="10" t="s">
        <v>1069</v>
      </c>
      <c r="S382" s="10">
        <v>7936</v>
      </c>
      <c r="T382" s="10">
        <v>7670</v>
      </c>
      <c r="U382" s="14" t="s">
        <v>1403</v>
      </c>
    </row>
    <row r="383" spans="1:21" ht="15" x14ac:dyDescent="0.35">
      <c r="A383" s="9">
        <v>396</v>
      </c>
      <c r="B383" s="10" t="s">
        <v>687</v>
      </c>
      <c r="C383" s="10" t="s">
        <v>0</v>
      </c>
      <c r="D383" s="10" t="s">
        <v>666</v>
      </c>
      <c r="E383" s="10" t="s">
        <v>481</v>
      </c>
      <c r="F383" s="10" t="s">
        <v>16</v>
      </c>
      <c r="G383" s="10">
        <v>500</v>
      </c>
      <c r="H383" s="10">
        <v>1150</v>
      </c>
      <c r="I383" s="10" t="s">
        <v>688</v>
      </c>
      <c r="J383" s="10" t="s">
        <v>1070</v>
      </c>
      <c r="K383" s="10">
        <v>2680</v>
      </c>
      <c r="L383" s="10">
        <v>1704</v>
      </c>
      <c r="M383" s="10">
        <v>2032</v>
      </c>
      <c r="N383" s="10">
        <v>9.2799999999999994</v>
      </c>
      <c r="O383" s="10">
        <v>200</v>
      </c>
      <c r="P383" s="10">
        <v>1</v>
      </c>
      <c r="Q383" s="10" t="s">
        <v>690</v>
      </c>
      <c r="R383" s="10" t="s">
        <v>1071</v>
      </c>
      <c r="S383" s="10">
        <v>7153</v>
      </c>
      <c r="T383" s="10">
        <v>6953</v>
      </c>
      <c r="U383" s="14" t="s">
        <v>1403</v>
      </c>
    </row>
    <row r="384" spans="1:21" ht="15" x14ac:dyDescent="0.35">
      <c r="A384" s="9">
        <v>397</v>
      </c>
      <c r="B384" s="10" t="s">
        <v>695</v>
      </c>
      <c r="C384" s="10" t="s">
        <v>0</v>
      </c>
      <c r="D384" s="10" t="s">
        <v>666</v>
      </c>
      <c r="E384" s="10" t="s">
        <v>696</v>
      </c>
      <c r="F384" s="10" t="s">
        <v>16</v>
      </c>
      <c r="G384" s="10">
        <v>600</v>
      </c>
      <c r="H384" s="10">
        <v>1150</v>
      </c>
      <c r="I384" s="10" t="s">
        <v>39</v>
      </c>
      <c r="J384" s="10" t="s">
        <v>697</v>
      </c>
      <c r="K384" s="10">
        <v>1934</v>
      </c>
      <c r="L384" s="10">
        <v>3315</v>
      </c>
      <c r="M384" s="10">
        <v>2415</v>
      </c>
      <c r="N384" s="10">
        <v>15.48</v>
      </c>
      <c r="O384" s="10">
        <v>560</v>
      </c>
      <c r="P384" s="10">
        <v>1</v>
      </c>
      <c r="Q384" s="10" t="s">
        <v>698</v>
      </c>
      <c r="R384" s="10" t="s">
        <v>1072</v>
      </c>
      <c r="S384" s="10">
        <v>11060</v>
      </c>
      <c r="T384" s="10">
        <v>10500</v>
      </c>
      <c r="U384" s="14" t="s">
        <v>1403</v>
      </c>
    </row>
    <row r="385" spans="1:21" ht="15" x14ac:dyDescent="0.35">
      <c r="A385" s="9">
        <v>398</v>
      </c>
      <c r="B385" s="10" t="s">
        <v>710</v>
      </c>
      <c r="C385" s="10" t="s">
        <v>0</v>
      </c>
      <c r="D385" s="10" t="s">
        <v>666</v>
      </c>
      <c r="E385" s="10" t="s">
        <v>554</v>
      </c>
      <c r="F385" s="10" t="s">
        <v>16</v>
      </c>
      <c r="G385" s="10">
        <v>500</v>
      </c>
      <c r="H385" s="10">
        <v>1150</v>
      </c>
      <c r="I385" s="10" t="s">
        <v>17</v>
      </c>
      <c r="J385" s="10" t="s">
        <v>1073</v>
      </c>
      <c r="K385" s="10">
        <v>3200</v>
      </c>
      <c r="L385" s="10">
        <v>1480</v>
      </c>
      <c r="M385" s="10">
        <v>1933</v>
      </c>
      <c r="N385" s="10">
        <v>9.15</v>
      </c>
      <c r="O385" s="10">
        <v>285</v>
      </c>
      <c r="P385" s="10">
        <v>1</v>
      </c>
      <c r="Q385" s="10" t="s">
        <v>712</v>
      </c>
      <c r="R385" s="10" t="s">
        <v>1060</v>
      </c>
      <c r="S385" s="10">
        <v>8185</v>
      </c>
      <c r="T385" s="10">
        <v>7900</v>
      </c>
      <c r="U385" s="14" t="s">
        <v>1403</v>
      </c>
    </row>
    <row r="386" spans="1:21" ht="15" x14ac:dyDescent="0.35">
      <c r="A386" s="9">
        <v>399</v>
      </c>
      <c r="B386" s="10" t="s">
        <v>721</v>
      </c>
      <c r="C386" s="10" t="s">
        <v>0</v>
      </c>
      <c r="D386" s="10" t="s">
        <v>666</v>
      </c>
      <c r="E386" s="10" t="s">
        <v>266</v>
      </c>
      <c r="F386" s="10" t="s">
        <v>16</v>
      </c>
      <c r="G386" s="10">
        <v>500</v>
      </c>
      <c r="H386" s="10">
        <v>1150</v>
      </c>
      <c r="I386" s="10" t="s">
        <v>17</v>
      </c>
      <c r="J386" s="10" t="s">
        <v>1073</v>
      </c>
      <c r="K386" s="10">
        <v>3200</v>
      </c>
      <c r="L386" s="10">
        <v>1480</v>
      </c>
      <c r="M386" s="10">
        <v>1933</v>
      </c>
      <c r="N386" s="10">
        <v>9.15</v>
      </c>
      <c r="O386" s="10">
        <v>285</v>
      </c>
      <c r="P386" s="10">
        <v>1</v>
      </c>
      <c r="Q386" s="10" t="s">
        <v>712</v>
      </c>
      <c r="R386" s="10" t="s">
        <v>1060</v>
      </c>
      <c r="S386" s="10">
        <v>8485</v>
      </c>
      <c r="T386" s="10">
        <v>8200</v>
      </c>
      <c r="U386" s="14" t="s">
        <v>1403</v>
      </c>
    </row>
    <row r="387" spans="1:21" ht="15" x14ac:dyDescent="0.35">
      <c r="A387" s="9">
        <v>400</v>
      </c>
      <c r="B387" s="10" t="s">
        <v>1074</v>
      </c>
      <c r="C387" s="10" t="s">
        <v>0</v>
      </c>
      <c r="D387" s="10" t="s">
        <v>666</v>
      </c>
      <c r="E387" s="10" t="s">
        <v>266</v>
      </c>
      <c r="F387" s="10" t="s">
        <v>41</v>
      </c>
      <c r="G387" s="10">
        <v>500</v>
      </c>
      <c r="H387" s="10">
        <v>1150</v>
      </c>
      <c r="I387" s="10" t="s">
        <v>17</v>
      </c>
      <c r="J387" s="10" t="s">
        <v>1073</v>
      </c>
      <c r="K387" s="10">
        <v>3200</v>
      </c>
      <c r="L387" s="10">
        <v>1480</v>
      </c>
      <c r="M387" s="10">
        <v>1933</v>
      </c>
      <c r="N387" s="10">
        <v>9.15</v>
      </c>
      <c r="O387" s="10">
        <v>285</v>
      </c>
      <c r="P387" s="10">
        <v>1</v>
      </c>
      <c r="Q387" s="10" t="s">
        <v>712</v>
      </c>
      <c r="R387" s="10" t="s">
        <v>1060</v>
      </c>
      <c r="S387" s="10">
        <f>285+T387</f>
        <v>7685</v>
      </c>
      <c r="T387" s="10">
        <v>7400</v>
      </c>
      <c r="U387" s="14" t="s">
        <v>1403</v>
      </c>
    </row>
    <row r="388" spans="1:21" ht="15" x14ac:dyDescent="0.35">
      <c r="A388" s="9">
        <v>401</v>
      </c>
      <c r="B388" s="10" t="s">
        <v>733</v>
      </c>
      <c r="C388" s="10" t="s">
        <v>0</v>
      </c>
      <c r="D388" s="10" t="s">
        <v>666</v>
      </c>
      <c r="E388" s="10" t="s">
        <v>734</v>
      </c>
      <c r="F388" s="10" t="s">
        <v>16</v>
      </c>
      <c r="G388" s="10">
        <v>500</v>
      </c>
      <c r="H388" s="10">
        <v>1150</v>
      </c>
      <c r="I388" s="10" t="s">
        <v>17</v>
      </c>
      <c r="J388" s="10" t="s">
        <v>1075</v>
      </c>
      <c r="K388" s="10">
        <v>3300</v>
      </c>
      <c r="L388" s="10">
        <v>1480</v>
      </c>
      <c r="M388" s="10">
        <v>1933</v>
      </c>
      <c r="N388" s="10">
        <v>9.44</v>
      </c>
      <c r="O388" s="10">
        <v>293</v>
      </c>
      <c r="P388" s="10">
        <v>1</v>
      </c>
      <c r="Q388" s="10" t="s">
        <v>650</v>
      </c>
      <c r="R388" s="10" t="s">
        <v>1060</v>
      </c>
      <c r="S388" s="10">
        <v>8378</v>
      </c>
      <c r="T388" s="10">
        <v>8085</v>
      </c>
      <c r="U388" s="14" t="s">
        <v>1403</v>
      </c>
    </row>
    <row r="389" spans="1:21" ht="15" x14ac:dyDescent="0.35">
      <c r="A389" s="9">
        <v>402</v>
      </c>
      <c r="B389" s="10" t="s">
        <v>1076</v>
      </c>
      <c r="C389" s="10" t="s">
        <v>0</v>
      </c>
      <c r="D389" s="10" t="s">
        <v>666</v>
      </c>
      <c r="E389" s="10" t="s">
        <v>734</v>
      </c>
      <c r="F389" s="10" t="s">
        <v>41</v>
      </c>
      <c r="G389" s="10">
        <v>500</v>
      </c>
      <c r="H389" s="10">
        <v>1150</v>
      </c>
      <c r="I389" s="10" t="s">
        <v>17</v>
      </c>
      <c r="J389" s="10" t="s">
        <v>1075</v>
      </c>
      <c r="K389" s="10">
        <v>3300</v>
      </c>
      <c r="L389" s="10">
        <v>1480</v>
      </c>
      <c r="M389" s="10">
        <v>1933</v>
      </c>
      <c r="N389" s="10">
        <v>9.44</v>
      </c>
      <c r="O389" s="10">
        <v>293</v>
      </c>
      <c r="P389" s="10">
        <v>1</v>
      </c>
      <c r="Q389" s="10" t="s">
        <v>650</v>
      </c>
      <c r="R389" s="10" t="s">
        <v>1060</v>
      </c>
      <c r="S389" s="10">
        <f>293+T389</f>
        <v>7778</v>
      </c>
      <c r="T389" s="10">
        <v>7485</v>
      </c>
      <c r="U389" s="14" t="s">
        <v>1403</v>
      </c>
    </row>
    <row r="390" spans="1:21" ht="15" x14ac:dyDescent="0.35">
      <c r="A390" s="9">
        <v>403</v>
      </c>
      <c r="B390" s="10" t="s">
        <v>1077</v>
      </c>
      <c r="C390" s="10" t="s">
        <v>0</v>
      </c>
      <c r="D390" s="10" t="s">
        <v>666</v>
      </c>
      <c r="E390" s="10" t="s">
        <v>739</v>
      </c>
      <c r="F390" s="10" t="s">
        <v>41</v>
      </c>
      <c r="G390" s="10">
        <v>500</v>
      </c>
      <c r="H390" s="10">
        <v>1150</v>
      </c>
      <c r="I390" s="10" t="s">
        <v>17</v>
      </c>
      <c r="J390" s="10" t="s">
        <v>1075</v>
      </c>
      <c r="K390" s="10">
        <v>3300</v>
      </c>
      <c r="L390" s="10">
        <v>1480</v>
      </c>
      <c r="M390" s="10">
        <v>1933</v>
      </c>
      <c r="N390" s="10">
        <v>9.44</v>
      </c>
      <c r="O390" s="10">
        <v>293</v>
      </c>
      <c r="P390" s="10">
        <v>1</v>
      </c>
      <c r="Q390" s="10" t="s">
        <v>650</v>
      </c>
      <c r="R390" s="10" t="s">
        <v>1060</v>
      </c>
      <c r="S390" s="51"/>
      <c r="T390" s="51"/>
      <c r="U390" s="14" t="s">
        <v>1403</v>
      </c>
    </row>
    <row r="391" spans="1:21" ht="15" x14ac:dyDescent="0.35">
      <c r="A391" s="9">
        <v>404</v>
      </c>
      <c r="B391" s="10" t="s">
        <v>1078</v>
      </c>
      <c r="C391" s="10" t="s">
        <v>0</v>
      </c>
      <c r="D391" s="10" t="s">
        <v>666</v>
      </c>
      <c r="E391" s="10" t="s">
        <v>742</v>
      </c>
      <c r="F391" s="10" t="s">
        <v>16</v>
      </c>
      <c r="G391" s="10">
        <v>500</v>
      </c>
      <c r="H391" s="10">
        <v>1150</v>
      </c>
      <c r="I391" s="10" t="s">
        <v>17</v>
      </c>
      <c r="J391" s="10" t="s">
        <v>1075</v>
      </c>
      <c r="K391" s="10">
        <v>3300</v>
      </c>
      <c r="L391" s="10">
        <v>1480</v>
      </c>
      <c r="M391" s="10">
        <v>1933</v>
      </c>
      <c r="N391" s="10">
        <v>9.44</v>
      </c>
      <c r="O391" s="10">
        <v>293</v>
      </c>
      <c r="P391" s="10">
        <v>1</v>
      </c>
      <c r="Q391" s="10" t="s">
        <v>650</v>
      </c>
      <c r="R391" s="10" t="s">
        <v>1060</v>
      </c>
      <c r="S391" s="51"/>
      <c r="T391" s="51"/>
      <c r="U391" s="14" t="s">
        <v>1403</v>
      </c>
    </row>
    <row r="392" spans="1:21" ht="15" x14ac:dyDescent="0.35">
      <c r="A392" s="9">
        <v>405</v>
      </c>
      <c r="B392" s="10" t="s">
        <v>1079</v>
      </c>
      <c r="C392" s="10" t="s">
        <v>0</v>
      </c>
      <c r="D392" s="10" t="s">
        <v>666</v>
      </c>
      <c r="E392" s="10" t="s">
        <v>742</v>
      </c>
      <c r="F392" s="10" t="s">
        <v>41</v>
      </c>
      <c r="G392" s="10">
        <v>500</v>
      </c>
      <c r="H392" s="10">
        <v>1150</v>
      </c>
      <c r="I392" s="10" t="s">
        <v>17</v>
      </c>
      <c r="J392" s="10" t="s">
        <v>1075</v>
      </c>
      <c r="K392" s="10">
        <v>3300</v>
      </c>
      <c r="L392" s="10">
        <v>1480</v>
      </c>
      <c r="M392" s="10">
        <v>1933</v>
      </c>
      <c r="N392" s="10">
        <v>9.44</v>
      </c>
      <c r="O392" s="10">
        <v>293</v>
      </c>
      <c r="P392" s="10">
        <v>1</v>
      </c>
      <c r="Q392" s="10" t="s">
        <v>650</v>
      </c>
      <c r="R392" s="10" t="s">
        <v>1060</v>
      </c>
      <c r="S392" s="51"/>
      <c r="T392" s="51"/>
      <c r="U392" s="14" t="s">
        <v>1403</v>
      </c>
    </row>
    <row r="393" spans="1:21" ht="15" x14ac:dyDescent="0.35">
      <c r="A393" s="9">
        <v>406</v>
      </c>
      <c r="B393" s="10" t="s">
        <v>776</v>
      </c>
      <c r="C393" s="10" t="s">
        <v>751</v>
      </c>
      <c r="D393" s="10" t="s">
        <v>666</v>
      </c>
      <c r="E393" s="10" t="s">
        <v>563</v>
      </c>
      <c r="F393" s="10" t="s">
        <v>16</v>
      </c>
      <c r="G393" s="10">
        <v>645</v>
      </c>
      <c r="H393" s="10">
        <v>1200</v>
      </c>
      <c r="I393" s="10" t="s">
        <v>17</v>
      </c>
      <c r="J393" s="10" t="s">
        <v>1080</v>
      </c>
      <c r="K393" s="10">
        <v>3300</v>
      </c>
      <c r="L393" s="10">
        <v>2480</v>
      </c>
      <c r="M393" s="10">
        <v>2550</v>
      </c>
      <c r="N393" s="10">
        <v>20.87</v>
      </c>
      <c r="O393" s="10">
        <v>485</v>
      </c>
      <c r="P393" s="10">
        <v>1</v>
      </c>
      <c r="Q393" s="10" t="s">
        <v>774</v>
      </c>
      <c r="R393" s="10" t="s">
        <v>1081</v>
      </c>
      <c r="S393" s="10">
        <v>11185</v>
      </c>
      <c r="T393" s="10">
        <v>10700</v>
      </c>
      <c r="U393" s="14" t="s">
        <v>1403</v>
      </c>
    </row>
    <row r="394" spans="1:21" ht="15" x14ac:dyDescent="0.35">
      <c r="A394" s="9">
        <v>407</v>
      </c>
      <c r="B394" s="10" t="s">
        <v>789</v>
      </c>
      <c r="C394" s="10" t="s">
        <v>1</v>
      </c>
      <c r="D394" s="10" t="s">
        <v>784</v>
      </c>
      <c r="E394" s="10" t="s">
        <v>790</v>
      </c>
      <c r="F394" s="10" t="s">
        <v>16</v>
      </c>
      <c r="G394" s="10">
        <v>585</v>
      </c>
      <c r="H394" s="10">
        <v>1800</v>
      </c>
      <c r="I394" s="10" t="s">
        <v>17</v>
      </c>
      <c r="J394" s="10" t="s">
        <v>1082</v>
      </c>
      <c r="K394" s="10">
        <v>4125</v>
      </c>
      <c r="L394" s="10">
        <v>2294</v>
      </c>
      <c r="M394" s="10">
        <v>2400</v>
      </c>
      <c r="N394" s="10">
        <v>22.71</v>
      </c>
      <c r="O394" s="10">
        <v>805</v>
      </c>
      <c r="P394" s="10">
        <v>1</v>
      </c>
      <c r="Q394" s="10" t="s">
        <v>792</v>
      </c>
      <c r="R394" s="10" t="s">
        <v>1083</v>
      </c>
      <c r="S394" s="10">
        <v>16705</v>
      </c>
      <c r="T394" s="10">
        <v>15900</v>
      </c>
      <c r="U394" s="14" t="s">
        <v>1403</v>
      </c>
    </row>
    <row r="395" spans="1:21" ht="15" x14ac:dyDescent="0.35">
      <c r="A395" s="9">
        <v>408</v>
      </c>
      <c r="B395" s="10" t="s">
        <v>818</v>
      </c>
      <c r="C395" s="10" t="s">
        <v>1</v>
      </c>
      <c r="D395" s="10" t="s">
        <v>784</v>
      </c>
      <c r="E395" s="10" t="s">
        <v>819</v>
      </c>
      <c r="F395" s="10" t="s">
        <v>16</v>
      </c>
      <c r="G395" s="10">
        <v>750</v>
      </c>
      <c r="H395" s="10">
        <v>1490</v>
      </c>
      <c r="I395" s="10" t="s">
        <v>34</v>
      </c>
      <c r="J395" s="10" t="s">
        <v>1084</v>
      </c>
      <c r="K395" s="10">
        <v>4005</v>
      </c>
      <c r="L395" s="10">
        <v>2364</v>
      </c>
      <c r="M395" s="10">
        <v>3192</v>
      </c>
      <c r="N395" s="10">
        <v>30.22</v>
      </c>
      <c r="O395" s="10">
        <v>555</v>
      </c>
      <c r="P395" s="10">
        <v>1</v>
      </c>
      <c r="Q395" s="10" t="s">
        <v>821</v>
      </c>
      <c r="R395" s="10" t="s">
        <v>1085</v>
      </c>
      <c r="S395" s="10">
        <v>17655</v>
      </c>
      <c r="T395" s="10">
        <v>17100</v>
      </c>
      <c r="U395" s="14" t="s">
        <v>1403</v>
      </c>
    </row>
    <row r="396" spans="1:21" ht="15" x14ac:dyDescent="0.35">
      <c r="A396" s="9">
        <v>409</v>
      </c>
      <c r="B396" s="10" t="s">
        <v>827</v>
      </c>
      <c r="C396" s="10" t="s">
        <v>1</v>
      </c>
      <c r="D396" s="10" t="s">
        <v>784</v>
      </c>
      <c r="E396" s="10" t="s">
        <v>828</v>
      </c>
      <c r="F396" s="10" t="s">
        <v>16</v>
      </c>
      <c r="G396" s="10">
        <v>495</v>
      </c>
      <c r="H396" s="10">
        <v>1720</v>
      </c>
      <c r="I396" s="10" t="s">
        <v>17</v>
      </c>
      <c r="J396" s="10" t="s">
        <v>1086</v>
      </c>
      <c r="K396" s="10">
        <v>3625</v>
      </c>
      <c r="L396" s="10">
        <v>2174</v>
      </c>
      <c r="M396" s="10">
        <v>2572</v>
      </c>
      <c r="N396" s="10">
        <v>20.27</v>
      </c>
      <c r="O396" s="10">
        <v>1050</v>
      </c>
      <c r="P396" s="10">
        <v>1</v>
      </c>
      <c r="Q396" s="10" t="s">
        <v>830</v>
      </c>
      <c r="R396" s="10" t="s">
        <v>1087</v>
      </c>
      <c r="S396" s="10">
        <v>14250</v>
      </c>
      <c r="T396" s="10">
        <v>13200</v>
      </c>
      <c r="U396" s="14" t="s">
        <v>1403</v>
      </c>
    </row>
    <row r="397" spans="1:21" ht="15" x14ac:dyDescent="0.35">
      <c r="A397" s="9">
        <v>410</v>
      </c>
      <c r="B397" s="10" t="s">
        <v>862</v>
      </c>
      <c r="C397" s="10" t="s">
        <v>1</v>
      </c>
      <c r="D397" s="10" t="s">
        <v>784</v>
      </c>
      <c r="E397" s="10" t="s">
        <v>854</v>
      </c>
      <c r="F397" s="10" t="s">
        <v>16</v>
      </c>
      <c r="G397" s="10">
        <v>510</v>
      </c>
      <c r="H397" s="10">
        <v>1540</v>
      </c>
      <c r="I397" s="10" t="s">
        <v>24</v>
      </c>
      <c r="J397" s="10" t="s">
        <v>1088</v>
      </c>
      <c r="K397" s="10">
        <v>4299</v>
      </c>
      <c r="L397" s="10">
        <v>2194</v>
      </c>
      <c r="M397" s="10">
        <v>2802</v>
      </c>
      <c r="N397" s="10">
        <v>26.43</v>
      </c>
      <c r="O397" s="10">
        <v>540</v>
      </c>
      <c r="P397" s="10">
        <v>1</v>
      </c>
      <c r="Q397" s="10" t="s">
        <v>856</v>
      </c>
      <c r="R397" s="10" t="s">
        <v>1089</v>
      </c>
      <c r="S397" s="10">
        <v>20040</v>
      </c>
      <c r="T397" s="10">
        <v>19500</v>
      </c>
      <c r="U397" s="14" t="s">
        <v>1403</v>
      </c>
    </row>
    <row r="398" spans="1:21" ht="15" x14ac:dyDescent="0.35">
      <c r="A398" s="9">
        <v>411</v>
      </c>
      <c r="B398" s="10" t="s">
        <v>896</v>
      </c>
      <c r="C398" s="10" t="s">
        <v>1</v>
      </c>
      <c r="D398" s="10" t="s">
        <v>784</v>
      </c>
      <c r="E398" s="10" t="s">
        <v>221</v>
      </c>
      <c r="F398" s="10" t="s">
        <v>16</v>
      </c>
      <c r="G398" s="10">
        <v>600</v>
      </c>
      <c r="H398" s="10">
        <v>1540</v>
      </c>
      <c r="I398" s="10" t="s">
        <v>39</v>
      </c>
      <c r="J398" s="10" t="s">
        <v>1090</v>
      </c>
      <c r="K398" s="10">
        <v>3855</v>
      </c>
      <c r="L398" s="10">
        <v>2300</v>
      </c>
      <c r="M398" s="10">
        <v>3250</v>
      </c>
      <c r="N398" s="10">
        <v>28.82</v>
      </c>
      <c r="O398" s="10">
        <v>1860</v>
      </c>
      <c r="P398" s="10">
        <v>1</v>
      </c>
      <c r="Q398" s="10" t="s">
        <v>898</v>
      </c>
      <c r="R398" s="10" t="s">
        <v>1091</v>
      </c>
      <c r="S398" s="10">
        <v>15360</v>
      </c>
      <c r="T398" s="10">
        <v>13500</v>
      </c>
      <c r="U398" s="14" t="s">
        <v>1403</v>
      </c>
    </row>
    <row r="399" spans="1:21" ht="15" x14ac:dyDescent="0.35">
      <c r="A399" s="9">
        <v>412</v>
      </c>
      <c r="B399" s="10" t="s">
        <v>900</v>
      </c>
      <c r="C399" s="10" t="s">
        <v>1</v>
      </c>
      <c r="D399" s="10" t="s">
        <v>784</v>
      </c>
      <c r="E399" s="10" t="s">
        <v>701</v>
      </c>
      <c r="F399" s="10" t="s">
        <v>16</v>
      </c>
      <c r="G399" s="10">
        <v>529</v>
      </c>
      <c r="H399" s="10">
        <v>1540</v>
      </c>
      <c r="I399" s="10" t="s">
        <v>17</v>
      </c>
      <c r="J399" s="10" t="s">
        <v>1092</v>
      </c>
      <c r="K399" s="10">
        <v>3707</v>
      </c>
      <c r="L399" s="10">
        <v>2324</v>
      </c>
      <c r="M399" s="10">
        <v>2522</v>
      </c>
      <c r="N399" s="10">
        <v>21.73</v>
      </c>
      <c r="O399" s="10">
        <v>1060</v>
      </c>
      <c r="P399" s="10">
        <v>1</v>
      </c>
      <c r="Q399" s="10" t="s">
        <v>902</v>
      </c>
      <c r="R399" s="10" t="s">
        <v>1093</v>
      </c>
      <c r="S399" s="10">
        <v>14460</v>
      </c>
      <c r="T399" s="10">
        <v>13400</v>
      </c>
      <c r="U399" s="14" t="s">
        <v>1403</v>
      </c>
    </row>
    <row r="400" spans="1:21" ht="15" x14ac:dyDescent="0.35">
      <c r="A400" s="9">
        <v>413</v>
      </c>
      <c r="B400" s="10" t="s">
        <v>906</v>
      </c>
      <c r="C400" s="10" t="s">
        <v>1</v>
      </c>
      <c r="D400" s="10" t="s">
        <v>784</v>
      </c>
      <c r="E400" s="10" t="s">
        <v>907</v>
      </c>
      <c r="F400" s="10" t="s">
        <v>16</v>
      </c>
      <c r="G400" s="10">
        <v>344</v>
      </c>
      <c r="H400" s="10">
        <v>1540</v>
      </c>
      <c r="I400" s="10" t="s">
        <v>24</v>
      </c>
      <c r="J400" s="10" t="s">
        <v>1094</v>
      </c>
      <c r="K400" s="10">
        <v>3599</v>
      </c>
      <c r="L400" s="10">
        <v>2194</v>
      </c>
      <c r="M400" s="10">
        <v>2692</v>
      </c>
      <c r="N400" s="10">
        <v>21.26</v>
      </c>
      <c r="O400" s="10">
        <v>469</v>
      </c>
      <c r="P400" s="10">
        <v>1</v>
      </c>
      <c r="Q400" s="10" t="s">
        <v>909</v>
      </c>
      <c r="R400" s="10" t="s">
        <v>1095</v>
      </c>
      <c r="S400" s="10">
        <v>12769</v>
      </c>
      <c r="T400" s="10">
        <v>12300</v>
      </c>
      <c r="U400" s="14" t="s">
        <v>1403</v>
      </c>
    </row>
    <row r="401" spans="1:21" ht="15" x14ac:dyDescent="0.35">
      <c r="A401" s="9">
        <v>414</v>
      </c>
      <c r="B401" s="10" t="s">
        <v>915</v>
      </c>
      <c r="C401" s="10" t="s">
        <v>1</v>
      </c>
      <c r="D401" s="10" t="s">
        <v>784</v>
      </c>
      <c r="E401" s="10" t="s">
        <v>241</v>
      </c>
      <c r="F401" s="10" t="s">
        <v>16</v>
      </c>
      <c r="G401" s="10">
        <v>510</v>
      </c>
      <c r="H401" s="10">
        <v>1540</v>
      </c>
      <c r="I401" s="10" t="s">
        <v>24</v>
      </c>
      <c r="J401" s="10" t="s">
        <v>1096</v>
      </c>
      <c r="K401" s="10">
        <v>3699</v>
      </c>
      <c r="L401" s="10">
        <v>2194</v>
      </c>
      <c r="M401" s="10">
        <v>2752</v>
      </c>
      <c r="N401" s="10">
        <v>22.33</v>
      </c>
      <c r="O401" s="10">
        <v>480</v>
      </c>
      <c r="P401" s="10">
        <v>1</v>
      </c>
      <c r="Q401" s="10" t="s">
        <v>917</v>
      </c>
      <c r="R401" s="10" t="s">
        <v>1097</v>
      </c>
      <c r="S401" s="10">
        <v>14880</v>
      </c>
      <c r="T401" s="10">
        <v>14400</v>
      </c>
      <c r="U401" s="14" t="s">
        <v>1403</v>
      </c>
    </row>
    <row r="402" spans="1:21" ht="15" x14ac:dyDescent="0.35">
      <c r="A402" s="9">
        <v>415</v>
      </c>
      <c r="B402" s="10" t="s">
        <v>918</v>
      </c>
      <c r="C402" s="10" t="s">
        <v>1</v>
      </c>
      <c r="D402" s="10" t="s">
        <v>784</v>
      </c>
      <c r="E402" s="10" t="s">
        <v>73</v>
      </c>
      <c r="F402" s="10" t="s">
        <v>16</v>
      </c>
      <c r="G402" s="10">
        <v>250</v>
      </c>
      <c r="H402" s="10">
        <v>1850</v>
      </c>
      <c r="I402" s="10" t="s">
        <v>17</v>
      </c>
      <c r="J402" s="10" t="s">
        <v>1098</v>
      </c>
      <c r="K402" s="10">
        <v>3214</v>
      </c>
      <c r="L402" s="10">
        <v>2304</v>
      </c>
      <c r="M402" s="10">
        <v>2342</v>
      </c>
      <c r="N402" s="10">
        <v>17.34</v>
      </c>
      <c r="O402" s="10">
        <v>404</v>
      </c>
      <c r="P402" s="10">
        <v>1</v>
      </c>
      <c r="Q402" s="10" t="s">
        <v>920</v>
      </c>
      <c r="R402" s="10" t="s">
        <v>1099</v>
      </c>
      <c r="S402" s="10">
        <v>13824</v>
      </c>
      <c r="T402" s="10">
        <v>13420</v>
      </c>
      <c r="U402" s="14" t="s">
        <v>1403</v>
      </c>
    </row>
    <row r="403" spans="1:21" ht="15" x14ac:dyDescent="0.35">
      <c r="A403" s="9">
        <v>416</v>
      </c>
      <c r="B403" s="10" t="s">
        <v>946</v>
      </c>
      <c r="C403" s="10" t="s">
        <v>936</v>
      </c>
      <c r="D403" s="10" t="s">
        <v>937</v>
      </c>
      <c r="E403" s="10" t="s">
        <v>947</v>
      </c>
      <c r="F403" s="10" t="s">
        <v>16</v>
      </c>
      <c r="G403" s="10">
        <v>1000</v>
      </c>
      <c r="H403" s="10">
        <v>1950</v>
      </c>
      <c r="I403" s="10" t="s">
        <v>34</v>
      </c>
      <c r="J403" s="10" t="s">
        <v>1100</v>
      </c>
      <c r="K403" s="10">
        <v>4675</v>
      </c>
      <c r="L403" s="10">
        <v>2700</v>
      </c>
      <c r="M403" s="10">
        <v>4077</v>
      </c>
      <c r="N403" s="10">
        <v>51.46</v>
      </c>
      <c r="O403" s="10">
        <v>2295</v>
      </c>
      <c r="P403" s="10">
        <v>1</v>
      </c>
      <c r="Q403" s="10" t="s">
        <v>949</v>
      </c>
      <c r="R403" s="10" t="s">
        <v>1101</v>
      </c>
      <c r="S403" s="10">
        <v>35035</v>
      </c>
      <c r="T403" s="10">
        <v>32740</v>
      </c>
      <c r="U403" s="14" t="s">
        <v>1403</v>
      </c>
    </row>
    <row r="404" spans="1:21" ht="15" x14ac:dyDescent="0.35">
      <c r="A404" s="9">
        <v>417</v>
      </c>
      <c r="B404" s="10" t="s">
        <v>969</v>
      </c>
      <c r="C404" s="10" t="s">
        <v>936</v>
      </c>
      <c r="D404" s="10" t="s">
        <v>937</v>
      </c>
      <c r="E404" s="10" t="s">
        <v>271</v>
      </c>
      <c r="F404" s="10" t="s">
        <v>16</v>
      </c>
      <c r="G404" s="10">
        <v>600</v>
      </c>
      <c r="H404" s="10">
        <v>1950</v>
      </c>
      <c r="I404" s="10" t="s">
        <v>17</v>
      </c>
      <c r="J404" s="10" t="s">
        <v>1102</v>
      </c>
      <c r="K404" s="10">
        <v>4450</v>
      </c>
      <c r="L404" s="10">
        <v>2394</v>
      </c>
      <c r="M404" s="10">
        <v>2832</v>
      </c>
      <c r="N404" s="10">
        <v>30.17</v>
      </c>
      <c r="O404" s="10">
        <v>970</v>
      </c>
      <c r="P404" s="10">
        <v>1</v>
      </c>
      <c r="Q404" s="10" t="s">
        <v>971</v>
      </c>
      <c r="R404" s="10" t="s">
        <v>1103</v>
      </c>
      <c r="S404" s="10">
        <v>24620</v>
      </c>
      <c r="T404" s="10">
        <v>23650</v>
      </c>
      <c r="U404" s="14" t="s">
        <v>1403</v>
      </c>
    </row>
    <row r="405" spans="1:21" ht="15" x14ac:dyDescent="0.35">
      <c r="A405" s="10">
        <v>500</v>
      </c>
      <c r="C405" s="10" t="s">
        <v>1104</v>
      </c>
      <c r="D405" s="10" t="s">
        <v>1105</v>
      </c>
      <c r="E405" s="10" t="s">
        <v>1106</v>
      </c>
      <c r="J405" s="10" t="s">
        <v>1107</v>
      </c>
      <c r="K405" s="10">
        <v>1090</v>
      </c>
      <c r="L405" s="10">
        <v>690</v>
      </c>
      <c r="M405" s="10">
        <v>736</v>
      </c>
      <c r="N405" s="10">
        <v>0.55000000000000004</v>
      </c>
      <c r="O405" s="10">
        <v>22</v>
      </c>
      <c r="P405" s="10">
        <v>2</v>
      </c>
      <c r="S405" s="10">
        <v>184</v>
      </c>
      <c r="T405" s="10">
        <v>73</v>
      </c>
      <c r="U405" s="10" t="s">
        <v>1515</v>
      </c>
    </row>
    <row r="406" spans="1:21" ht="15" x14ac:dyDescent="0.35">
      <c r="A406" s="10">
        <v>501</v>
      </c>
      <c r="C406" s="10" t="s">
        <v>1108</v>
      </c>
      <c r="D406" s="10" t="s">
        <v>1105</v>
      </c>
      <c r="E406" s="10" t="s">
        <v>1106</v>
      </c>
      <c r="J406" s="10" t="s">
        <v>1107</v>
      </c>
      <c r="K406" s="10">
        <v>1090</v>
      </c>
      <c r="L406" s="10">
        <v>690</v>
      </c>
      <c r="M406" s="10">
        <v>736</v>
      </c>
      <c r="N406" s="10">
        <v>0.55000000000000004</v>
      </c>
      <c r="O406" s="10">
        <v>22</v>
      </c>
      <c r="P406" s="10">
        <v>2</v>
      </c>
      <c r="S406" s="10">
        <v>212</v>
      </c>
      <c r="T406" s="10">
        <v>87</v>
      </c>
      <c r="U406" s="10" t="s">
        <v>1515</v>
      </c>
    </row>
    <row r="407" spans="1:21" ht="15" x14ac:dyDescent="0.35">
      <c r="A407" s="10">
        <v>502</v>
      </c>
      <c r="C407" s="10" t="s">
        <v>1109</v>
      </c>
      <c r="D407" s="10" t="s">
        <v>1105</v>
      </c>
      <c r="E407" s="10" t="s">
        <v>1106</v>
      </c>
      <c r="J407" s="10" t="s">
        <v>1107</v>
      </c>
      <c r="K407" s="10">
        <v>1090</v>
      </c>
      <c r="L407" s="10">
        <v>690</v>
      </c>
      <c r="M407" s="10">
        <v>736</v>
      </c>
      <c r="N407" s="10">
        <v>0.55000000000000004</v>
      </c>
      <c r="O407" s="10">
        <v>22</v>
      </c>
      <c r="P407" s="10">
        <v>2</v>
      </c>
      <c r="S407" s="10">
        <v>238</v>
      </c>
      <c r="T407" s="10">
        <v>100</v>
      </c>
      <c r="U407" s="10" t="s">
        <v>1515</v>
      </c>
    </row>
    <row r="408" spans="1:21" ht="15" x14ac:dyDescent="0.35">
      <c r="A408" s="10">
        <v>503</v>
      </c>
      <c r="C408" s="10" t="s">
        <v>1110</v>
      </c>
      <c r="D408" s="10" t="s">
        <v>1105</v>
      </c>
      <c r="E408" s="10" t="s">
        <v>1111</v>
      </c>
      <c r="J408" s="10" t="s">
        <v>1107</v>
      </c>
      <c r="K408" s="10">
        <v>1090</v>
      </c>
      <c r="L408" s="10">
        <v>690</v>
      </c>
      <c r="M408" s="10">
        <v>736</v>
      </c>
      <c r="N408" s="10">
        <v>0.55000000000000004</v>
      </c>
      <c r="O408" s="10">
        <v>22</v>
      </c>
      <c r="P408" s="10">
        <v>2</v>
      </c>
      <c r="S408" s="10">
        <v>168</v>
      </c>
      <c r="T408" s="10">
        <v>73</v>
      </c>
      <c r="U408" s="10" t="s">
        <v>1516</v>
      </c>
    </row>
    <row r="409" spans="1:21" ht="15" x14ac:dyDescent="0.35">
      <c r="A409" s="10">
        <v>504</v>
      </c>
      <c r="C409" s="10" t="s">
        <v>1112</v>
      </c>
      <c r="D409" s="10" t="s">
        <v>1105</v>
      </c>
      <c r="E409" s="10" t="s">
        <v>1111</v>
      </c>
      <c r="J409" s="10" t="s">
        <v>1107</v>
      </c>
      <c r="K409" s="10">
        <v>1090</v>
      </c>
      <c r="L409" s="10">
        <v>690</v>
      </c>
      <c r="M409" s="10">
        <v>736</v>
      </c>
      <c r="N409" s="10">
        <v>0.55000000000000004</v>
      </c>
      <c r="O409" s="10">
        <v>22</v>
      </c>
      <c r="P409" s="10">
        <v>2</v>
      </c>
      <c r="S409" s="10">
        <v>172</v>
      </c>
      <c r="T409" s="10">
        <v>75</v>
      </c>
      <c r="U409" s="10" t="s">
        <v>1516</v>
      </c>
    </row>
    <row r="410" spans="1:21" ht="15" x14ac:dyDescent="0.35">
      <c r="A410" s="10">
        <v>505</v>
      </c>
      <c r="C410" s="10" t="s">
        <v>1113</v>
      </c>
      <c r="D410" s="10" t="s">
        <v>1105</v>
      </c>
      <c r="E410" s="10" t="s">
        <v>1111</v>
      </c>
      <c r="J410" s="10" t="s">
        <v>1107</v>
      </c>
      <c r="K410" s="10">
        <v>1090</v>
      </c>
      <c r="L410" s="10">
        <v>690</v>
      </c>
      <c r="M410" s="10">
        <v>736</v>
      </c>
      <c r="N410" s="10">
        <v>0.55000000000000004</v>
      </c>
      <c r="O410" s="10">
        <v>22</v>
      </c>
      <c r="P410" s="10">
        <v>2</v>
      </c>
      <c r="S410" s="10">
        <v>168</v>
      </c>
      <c r="T410" s="10">
        <v>73</v>
      </c>
      <c r="U410" s="10" t="s">
        <v>1516</v>
      </c>
    </row>
    <row r="411" spans="1:21" ht="15" x14ac:dyDescent="0.35">
      <c r="A411" s="10">
        <v>506</v>
      </c>
      <c r="C411" s="10" t="s">
        <v>1114</v>
      </c>
      <c r="D411" s="10" t="s">
        <v>1105</v>
      </c>
      <c r="E411" s="10" t="s">
        <v>1111</v>
      </c>
      <c r="J411" s="10" t="s">
        <v>1107</v>
      </c>
      <c r="K411" s="10">
        <v>1090</v>
      </c>
      <c r="L411" s="10">
        <v>690</v>
      </c>
      <c r="M411" s="10">
        <v>736</v>
      </c>
      <c r="N411" s="10">
        <v>0.55000000000000004</v>
      </c>
      <c r="O411" s="10">
        <v>22</v>
      </c>
      <c r="P411" s="10">
        <v>2</v>
      </c>
      <c r="S411" s="10">
        <v>222</v>
      </c>
      <c r="T411" s="10">
        <v>100</v>
      </c>
      <c r="U411" s="10" t="s">
        <v>1516</v>
      </c>
    </row>
    <row r="412" spans="1:21" ht="15" x14ac:dyDescent="0.35">
      <c r="A412" s="10">
        <v>507</v>
      </c>
      <c r="C412" s="10" t="s">
        <v>1115</v>
      </c>
      <c r="D412" s="10" t="s">
        <v>1105</v>
      </c>
      <c r="E412" s="10" t="s">
        <v>1116</v>
      </c>
      <c r="J412" s="10" t="s">
        <v>1107</v>
      </c>
      <c r="K412" s="10">
        <v>1090</v>
      </c>
      <c r="L412" s="10">
        <v>690</v>
      </c>
      <c r="M412" s="10">
        <v>736</v>
      </c>
      <c r="N412" s="10">
        <v>0.55000000000000004</v>
      </c>
      <c r="O412" s="10">
        <v>22</v>
      </c>
      <c r="P412" s="10">
        <v>2</v>
      </c>
      <c r="S412" s="10">
        <v>222</v>
      </c>
      <c r="T412" s="10">
        <v>100</v>
      </c>
      <c r="U412" s="10" t="s">
        <v>1516</v>
      </c>
    </row>
    <row r="413" spans="1:21" ht="15" x14ac:dyDescent="0.35">
      <c r="A413" s="10">
        <v>508</v>
      </c>
      <c r="C413" s="10" t="s">
        <v>1117</v>
      </c>
      <c r="D413" s="10" t="s">
        <v>1105</v>
      </c>
      <c r="E413" s="10" t="s">
        <v>1118</v>
      </c>
      <c r="J413" s="10" t="s">
        <v>1107</v>
      </c>
      <c r="K413" s="10">
        <v>1090</v>
      </c>
      <c r="L413" s="10">
        <v>690</v>
      </c>
      <c r="M413" s="10">
        <v>736</v>
      </c>
      <c r="N413" s="10">
        <v>0.55000000000000004</v>
      </c>
      <c r="O413" s="10">
        <v>22</v>
      </c>
      <c r="P413" s="10">
        <v>2</v>
      </c>
      <c r="S413" s="10">
        <v>182</v>
      </c>
      <c r="T413" s="10">
        <v>80</v>
      </c>
      <c r="U413" s="10" t="s">
        <v>1516</v>
      </c>
    </row>
    <row r="414" spans="1:21" ht="15" x14ac:dyDescent="0.35">
      <c r="A414" s="10">
        <v>509</v>
      </c>
      <c r="C414" s="10" t="s">
        <v>1119</v>
      </c>
      <c r="D414" s="10" t="s">
        <v>1105</v>
      </c>
      <c r="E414" s="10" t="s">
        <v>1120</v>
      </c>
      <c r="J414" s="10" t="s">
        <v>1107</v>
      </c>
      <c r="K414" s="10">
        <v>1090</v>
      </c>
      <c r="L414" s="10">
        <v>690</v>
      </c>
      <c r="M414" s="10">
        <v>736</v>
      </c>
      <c r="N414" s="10">
        <v>0.55000000000000004</v>
      </c>
      <c r="O414" s="10">
        <v>22</v>
      </c>
      <c r="P414" s="10">
        <v>2</v>
      </c>
      <c r="S414" s="10">
        <v>222</v>
      </c>
      <c r="T414" s="10">
        <v>100</v>
      </c>
      <c r="U414" s="10" t="s">
        <v>1516</v>
      </c>
    </row>
    <row r="415" spans="1:21" ht="15" x14ac:dyDescent="0.35">
      <c r="A415" s="10">
        <v>510</v>
      </c>
      <c r="C415" s="10" t="s">
        <v>1104</v>
      </c>
      <c r="D415" s="10" t="s">
        <v>1105</v>
      </c>
      <c r="E415" s="10" t="s">
        <v>1106</v>
      </c>
      <c r="J415" s="10" t="s">
        <v>1107</v>
      </c>
      <c r="K415" s="10">
        <v>1090</v>
      </c>
      <c r="L415" s="10">
        <v>690</v>
      </c>
      <c r="M415" s="10">
        <v>736</v>
      </c>
      <c r="N415" s="10">
        <v>0.55000000000000004</v>
      </c>
      <c r="O415" s="10">
        <v>22</v>
      </c>
      <c r="P415" s="10">
        <v>2</v>
      </c>
      <c r="S415" s="10">
        <v>168</v>
      </c>
      <c r="T415" s="10">
        <v>73</v>
      </c>
      <c r="U415" s="10" t="s">
        <v>1516</v>
      </c>
    </row>
    <row r="416" spans="1:21" ht="15" x14ac:dyDescent="0.35">
      <c r="A416" s="10">
        <v>511</v>
      </c>
      <c r="C416" s="10" t="s">
        <v>1121</v>
      </c>
      <c r="D416" s="10" t="s">
        <v>1105</v>
      </c>
      <c r="E416" s="10" t="s">
        <v>1106</v>
      </c>
      <c r="J416" s="10" t="s">
        <v>1107</v>
      </c>
      <c r="K416" s="10">
        <v>1090</v>
      </c>
      <c r="L416" s="10">
        <v>690</v>
      </c>
      <c r="M416" s="10">
        <v>736</v>
      </c>
      <c r="N416" s="10">
        <v>0.55000000000000004</v>
      </c>
      <c r="O416" s="10">
        <v>22</v>
      </c>
      <c r="P416" s="10">
        <v>2</v>
      </c>
      <c r="S416" s="10">
        <v>168</v>
      </c>
      <c r="T416" s="10">
        <v>73</v>
      </c>
      <c r="U416" s="10" t="s">
        <v>1516</v>
      </c>
    </row>
    <row r="417" spans="1:21" ht="15" x14ac:dyDescent="0.35">
      <c r="A417" s="10">
        <v>512</v>
      </c>
      <c r="C417" s="10" t="s">
        <v>1108</v>
      </c>
      <c r="D417" s="10" t="s">
        <v>1105</v>
      </c>
      <c r="E417" s="10" t="s">
        <v>1106</v>
      </c>
      <c r="J417" s="10" t="s">
        <v>1107</v>
      </c>
      <c r="K417" s="10">
        <v>1090</v>
      </c>
      <c r="L417" s="10">
        <v>690</v>
      </c>
      <c r="M417" s="10">
        <v>736</v>
      </c>
      <c r="N417" s="10">
        <v>0.55000000000000004</v>
      </c>
      <c r="O417" s="10">
        <v>22</v>
      </c>
      <c r="P417" s="10">
        <v>2</v>
      </c>
      <c r="S417" s="10">
        <v>196</v>
      </c>
      <c r="T417" s="10">
        <v>87</v>
      </c>
      <c r="U417" s="10" t="s">
        <v>1516</v>
      </c>
    </row>
    <row r="418" spans="1:21" ht="15" x14ac:dyDescent="0.35">
      <c r="A418" s="10">
        <v>513</v>
      </c>
      <c r="C418" s="10" t="s">
        <v>1109</v>
      </c>
      <c r="D418" s="10" t="s">
        <v>1105</v>
      </c>
      <c r="E418" s="10" t="s">
        <v>1106</v>
      </c>
      <c r="J418" s="10" t="s">
        <v>1107</v>
      </c>
      <c r="K418" s="10">
        <v>1090</v>
      </c>
      <c r="L418" s="10">
        <v>690</v>
      </c>
      <c r="M418" s="10">
        <v>736</v>
      </c>
      <c r="N418" s="10">
        <v>0.55000000000000004</v>
      </c>
      <c r="O418" s="10">
        <v>22</v>
      </c>
      <c r="P418" s="10">
        <v>2</v>
      </c>
      <c r="S418" s="10">
        <v>222</v>
      </c>
      <c r="T418" s="10">
        <v>100</v>
      </c>
      <c r="U418" s="10" t="s">
        <v>1516</v>
      </c>
    </row>
    <row r="419" spans="1:21" ht="15" x14ac:dyDescent="0.35">
      <c r="A419" s="10">
        <v>554</v>
      </c>
      <c r="C419" s="10" t="s">
        <v>1122</v>
      </c>
      <c r="D419" s="10" t="s">
        <v>1123</v>
      </c>
      <c r="E419" s="10" t="s">
        <v>1124</v>
      </c>
      <c r="J419" s="10" t="s">
        <v>1125</v>
      </c>
      <c r="K419" s="10">
        <v>1100</v>
      </c>
      <c r="L419" s="10">
        <v>750</v>
      </c>
      <c r="M419" s="10">
        <v>700</v>
      </c>
      <c r="N419" s="10">
        <v>0.57999999999999996</v>
      </c>
      <c r="O419" s="10">
        <v>52</v>
      </c>
      <c r="P419" s="10">
        <v>2</v>
      </c>
      <c r="S419" s="10">
        <v>426</v>
      </c>
      <c r="T419" s="10">
        <v>187</v>
      </c>
      <c r="U419" s="10" t="s">
        <v>1516</v>
      </c>
    </row>
    <row r="420" spans="1:21" ht="15" x14ac:dyDescent="0.35">
      <c r="A420" s="10">
        <v>547</v>
      </c>
      <c r="C420" s="10" t="s">
        <v>1126</v>
      </c>
      <c r="D420" s="10" t="s">
        <v>1123</v>
      </c>
      <c r="E420" s="10" t="s">
        <v>1127</v>
      </c>
      <c r="J420" s="10" t="s">
        <v>1128</v>
      </c>
      <c r="K420" s="10">
        <v>1100</v>
      </c>
      <c r="L420" s="10">
        <v>850</v>
      </c>
      <c r="M420" s="10">
        <v>700</v>
      </c>
      <c r="N420" s="10">
        <v>0.65</v>
      </c>
      <c r="O420" s="10">
        <v>21</v>
      </c>
      <c r="P420" s="10">
        <v>2</v>
      </c>
      <c r="S420" s="10">
        <v>287</v>
      </c>
      <c r="T420" s="10">
        <v>133</v>
      </c>
      <c r="U420" s="10" t="s">
        <v>1515</v>
      </c>
    </row>
    <row r="421" spans="1:21" ht="15" x14ac:dyDescent="0.35">
      <c r="A421" s="10">
        <v>548</v>
      </c>
      <c r="C421" s="10" t="s">
        <v>1129</v>
      </c>
      <c r="D421" s="10" t="s">
        <v>1123</v>
      </c>
      <c r="E421" s="10" t="s">
        <v>1127</v>
      </c>
      <c r="J421" s="10" t="s">
        <v>1128</v>
      </c>
      <c r="K421" s="10">
        <v>1100</v>
      </c>
      <c r="L421" s="10">
        <v>850</v>
      </c>
      <c r="M421" s="10">
        <v>700</v>
      </c>
      <c r="N421" s="10">
        <v>0.65</v>
      </c>
      <c r="O421" s="10">
        <v>21</v>
      </c>
      <c r="P421" s="10">
        <v>2</v>
      </c>
      <c r="S421" s="10">
        <v>383</v>
      </c>
      <c r="T421" s="10">
        <v>181</v>
      </c>
      <c r="U421" s="10" t="s">
        <v>1515</v>
      </c>
    </row>
    <row r="422" spans="1:21" ht="15" x14ac:dyDescent="0.35">
      <c r="A422" s="10">
        <v>549</v>
      </c>
      <c r="C422" s="10" t="s">
        <v>1130</v>
      </c>
      <c r="D422" s="10" t="s">
        <v>1123</v>
      </c>
      <c r="E422" s="10" t="s">
        <v>1127</v>
      </c>
      <c r="J422" s="10" t="s">
        <v>1128</v>
      </c>
      <c r="K422" s="10">
        <v>1100</v>
      </c>
      <c r="L422" s="10">
        <v>850</v>
      </c>
      <c r="M422" s="10">
        <v>700</v>
      </c>
      <c r="N422" s="10">
        <v>0.65</v>
      </c>
      <c r="O422" s="10">
        <v>21</v>
      </c>
      <c r="P422" s="10">
        <v>2</v>
      </c>
      <c r="S422" s="10">
        <v>395</v>
      </c>
      <c r="T422" s="10">
        <v>187</v>
      </c>
      <c r="U422" s="10" t="s">
        <v>1515</v>
      </c>
    </row>
    <row r="423" spans="1:21" ht="15" x14ac:dyDescent="0.35">
      <c r="A423" s="10">
        <v>550</v>
      </c>
      <c r="C423" s="10" t="s">
        <v>1131</v>
      </c>
      <c r="D423" s="10" t="s">
        <v>1123</v>
      </c>
      <c r="E423" s="10" t="s">
        <v>1124</v>
      </c>
      <c r="J423" s="10" t="s">
        <v>1128</v>
      </c>
      <c r="K423" s="10">
        <v>1100</v>
      </c>
      <c r="L423" s="10">
        <v>850</v>
      </c>
      <c r="M423" s="10">
        <v>700</v>
      </c>
      <c r="N423" s="10">
        <v>0.65</v>
      </c>
      <c r="O423" s="10">
        <v>52</v>
      </c>
      <c r="P423" s="10">
        <v>2</v>
      </c>
      <c r="S423" s="10">
        <v>318</v>
      </c>
      <c r="T423" s="10">
        <v>133</v>
      </c>
      <c r="U423" s="10" t="s">
        <v>1516</v>
      </c>
    </row>
    <row r="424" spans="1:21" ht="15" x14ac:dyDescent="0.35">
      <c r="A424" s="10">
        <v>551</v>
      </c>
      <c r="C424" s="10" t="s">
        <v>1132</v>
      </c>
      <c r="D424" s="10" t="s">
        <v>1123</v>
      </c>
      <c r="E424" s="10" t="s">
        <v>1124</v>
      </c>
      <c r="J424" s="10" t="s">
        <v>1128</v>
      </c>
      <c r="K424" s="10">
        <v>1100</v>
      </c>
      <c r="L424" s="10">
        <v>850</v>
      </c>
      <c r="M424" s="10">
        <v>700</v>
      </c>
      <c r="N424" s="10">
        <v>0.65</v>
      </c>
      <c r="O424" s="10">
        <v>52</v>
      </c>
      <c r="P424" s="10">
        <v>2</v>
      </c>
      <c r="S424" s="10">
        <v>376</v>
      </c>
      <c r="T424" s="10">
        <v>162</v>
      </c>
      <c r="U424" s="10" t="s">
        <v>1516</v>
      </c>
    </row>
    <row r="425" spans="1:21" ht="15" x14ac:dyDescent="0.35">
      <c r="A425" s="10">
        <v>552</v>
      </c>
      <c r="C425" s="10" t="s">
        <v>1133</v>
      </c>
      <c r="D425" s="10" t="s">
        <v>1123</v>
      </c>
      <c r="E425" s="10" t="s">
        <v>1124</v>
      </c>
      <c r="J425" s="10" t="s">
        <v>1661</v>
      </c>
      <c r="K425" s="10">
        <v>1100</v>
      </c>
      <c r="L425" s="10">
        <v>850</v>
      </c>
      <c r="M425" s="10">
        <v>700</v>
      </c>
      <c r="N425" s="10">
        <v>0.65</v>
      </c>
      <c r="O425" s="10">
        <v>52</v>
      </c>
      <c r="P425" s="10">
        <v>2</v>
      </c>
      <c r="S425" s="10">
        <v>408</v>
      </c>
      <c r="T425" s="10">
        <v>178</v>
      </c>
      <c r="U425" s="10" t="s">
        <v>1516</v>
      </c>
    </row>
    <row r="426" spans="1:21" ht="15" x14ac:dyDescent="0.35">
      <c r="A426" s="10">
        <v>553</v>
      </c>
      <c r="C426" s="10" t="s">
        <v>1532</v>
      </c>
      <c r="D426" s="10" t="s">
        <v>1123</v>
      </c>
      <c r="E426" s="10" t="s">
        <v>1124</v>
      </c>
      <c r="J426" s="10" t="s">
        <v>1128</v>
      </c>
      <c r="K426" s="10">
        <v>1100</v>
      </c>
      <c r="L426" s="10">
        <v>850</v>
      </c>
      <c r="M426" s="10">
        <v>700</v>
      </c>
      <c r="N426" s="10">
        <v>0.65</v>
      </c>
      <c r="O426" s="10">
        <v>52</v>
      </c>
      <c r="P426" s="10">
        <v>2</v>
      </c>
      <c r="S426" s="10">
        <v>418</v>
      </c>
      <c r="T426" s="10">
        <v>183</v>
      </c>
      <c r="U426" s="10" t="s">
        <v>1516</v>
      </c>
    </row>
    <row r="427" spans="1:21" ht="15" x14ac:dyDescent="0.35">
      <c r="A427" s="10">
        <v>584</v>
      </c>
      <c r="C427" s="10" t="s">
        <v>1135</v>
      </c>
      <c r="D427" s="10" t="s">
        <v>1135</v>
      </c>
      <c r="E427" s="10" t="s">
        <v>1135</v>
      </c>
      <c r="J427" s="10" t="s">
        <v>1136</v>
      </c>
      <c r="K427" s="10">
        <v>1136</v>
      </c>
      <c r="L427" s="10">
        <v>686</v>
      </c>
      <c r="M427" s="10">
        <v>903</v>
      </c>
      <c r="N427" s="10">
        <v>0.7</v>
      </c>
      <c r="O427" s="10">
        <v>54</v>
      </c>
      <c r="P427" s="10">
        <v>1</v>
      </c>
      <c r="T427" s="10" t="s">
        <v>1137</v>
      </c>
      <c r="U427" s="10" t="s">
        <v>1516</v>
      </c>
    </row>
    <row r="428" spans="1:21" ht="15" x14ac:dyDescent="0.35">
      <c r="A428" s="10">
        <v>602</v>
      </c>
      <c r="C428" s="10" t="s">
        <v>1138</v>
      </c>
      <c r="D428" s="10" t="s">
        <v>1139</v>
      </c>
      <c r="E428" s="10" t="s">
        <v>1140</v>
      </c>
      <c r="J428" s="10" t="s">
        <v>1136</v>
      </c>
      <c r="K428" s="10">
        <v>1136</v>
      </c>
      <c r="L428" s="10">
        <v>686</v>
      </c>
      <c r="M428" s="10">
        <v>903</v>
      </c>
      <c r="N428" s="10">
        <v>0.7</v>
      </c>
      <c r="O428" s="10">
        <v>5.57</v>
      </c>
      <c r="P428" s="10">
        <v>1</v>
      </c>
      <c r="S428" s="10">
        <v>285</v>
      </c>
      <c r="T428" s="10">
        <v>262</v>
      </c>
      <c r="U428" s="10" t="s">
        <v>1517</v>
      </c>
    </row>
    <row r="429" spans="1:21" ht="15" x14ac:dyDescent="0.35">
      <c r="A429" s="10">
        <v>620</v>
      </c>
      <c r="C429" s="10" t="s">
        <v>1141</v>
      </c>
      <c r="D429" s="10" t="s">
        <v>1139</v>
      </c>
      <c r="E429" s="10" t="s">
        <v>1142</v>
      </c>
      <c r="J429" s="10" t="s">
        <v>1136</v>
      </c>
      <c r="K429" s="10">
        <v>1136</v>
      </c>
      <c r="L429" s="10">
        <v>686</v>
      </c>
      <c r="M429" s="10">
        <v>903</v>
      </c>
      <c r="N429" s="10">
        <v>0.7</v>
      </c>
      <c r="O429" s="10">
        <v>5.57</v>
      </c>
      <c r="P429" s="10">
        <v>1</v>
      </c>
      <c r="S429" s="10">
        <v>285</v>
      </c>
      <c r="T429" s="10">
        <v>262</v>
      </c>
      <c r="U429" s="10" t="s">
        <v>1517</v>
      </c>
    </row>
    <row r="430" spans="1:21" ht="15" x14ac:dyDescent="0.35">
      <c r="A430" s="10">
        <v>621</v>
      </c>
      <c r="C430" s="10" t="s">
        <v>1143</v>
      </c>
      <c r="D430" s="10" t="s">
        <v>1139</v>
      </c>
      <c r="E430" s="10" t="s">
        <v>1142</v>
      </c>
      <c r="J430" s="10" t="s">
        <v>1136</v>
      </c>
      <c r="K430" s="10">
        <v>1136</v>
      </c>
      <c r="L430" s="10">
        <v>686</v>
      </c>
      <c r="M430" s="10">
        <v>903</v>
      </c>
      <c r="N430" s="10">
        <v>0.7</v>
      </c>
      <c r="O430" s="10">
        <v>5.57</v>
      </c>
      <c r="P430" s="10">
        <v>1</v>
      </c>
      <c r="S430" s="10">
        <v>318</v>
      </c>
      <c r="T430" s="10">
        <v>295</v>
      </c>
      <c r="U430" s="10" t="s">
        <v>1517</v>
      </c>
    </row>
    <row r="431" spans="1:21" ht="15" x14ac:dyDescent="0.35">
      <c r="A431" s="10">
        <v>603</v>
      </c>
      <c r="C431" s="10" t="s">
        <v>1144</v>
      </c>
      <c r="D431" s="10" t="s">
        <v>1139</v>
      </c>
      <c r="E431" s="10" t="s">
        <v>1140</v>
      </c>
      <c r="J431" s="10" t="s">
        <v>1145</v>
      </c>
      <c r="K431" s="10">
        <v>1136</v>
      </c>
      <c r="L431" s="10">
        <v>686</v>
      </c>
      <c r="M431" s="10">
        <v>904</v>
      </c>
      <c r="N431" s="10">
        <v>0.7</v>
      </c>
      <c r="O431" s="10">
        <v>5.57</v>
      </c>
      <c r="P431" s="10">
        <v>1</v>
      </c>
      <c r="S431" s="10">
        <v>318</v>
      </c>
      <c r="T431" s="10">
        <v>295</v>
      </c>
      <c r="U431" s="10" t="s">
        <v>1517</v>
      </c>
    </row>
    <row r="432" spans="1:21" ht="15" x14ac:dyDescent="0.35">
      <c r="A432" s="10">
        <v>604</v>
      </c>
      <c r="C432" s="10" t="s">
        <v>1146</v>
      </c>
      <c r="D432" s="10" t="s">
        <v>1139</v>
      </c>
      <c r="E432" s="10" t="s">
        <v>1140</v>
      </c>
      <c r="J432" s="10" t="s">
        <v>1145</v>
      </c>
      <c r="K432" s="10">
        <v>1136</v>
      </c>
      <c r="L432" s="10">
        <v>686</v>
      </c>
      <c r="M432" s="10">
        <v>904</v>
      </c>
      <c r="N432" s="10">
        <v>0.7</v>
      </c>
      <c r="O432" s="10">
        <v>5.57</v>
      </c>
      <c r="P432" s="10">
        <v>1</v>
      </c>
      <c r="S432" s="10">
        <v>318</v>
      </c>
      <c r="T432" s="10">
        <v>295</v>
      </c>
      <c r="U432" s="10" t="s">
        <v>1517</v>
      </c>
    </row>
    <row r="433" spans="1:21" ht="15" x14ac:dyDescent="0.35">
      <c r="A433" s="10">
        <v>622</v>
      </c>
      <c r="C433" s="10" t="s">
        <v>1147</v>
      </c>
      <c r="D433" s="10" t="s">
        <v>1139</v>
      </c>
      <c r="E433" s="10" t="s">
        <v>1142</v>
      </c>
      <c r="J433" s="10" t="s">
        <v>1145</v>
      </c>
      <c r="K433" s="10">
        <v>1136</v>
      </c>
      <c r="L433" s="10">
        <v>686</v>
      </c>
      <c r="M433" s="10">
        <v>904</v>
      </c>
      <c r="N433" s="10">
        <v>0.7</v>
      </c>
      <c r="O433" s="10">
        <v>5.57</v>
      </c>
      <c r="P433" s="10">
        <v>1</v>
      </c>
      <c r="S433" s="10">
        <v>318</v>
      </c>
      <c r="T433" s="10">
        <v>295</v>
      </c>
      <c r="U433" s="10" t="s">
        <v>1517</v>
      </c>
    </row>
    <row r="434" spans="1:21" ht="15" x14ac:dyDescent="0.35">
      <c r="A434" s="10">
        <v>605</v>
      </c>
      <c r="C434" s="10" t="s">
        <v>1148</v>
      </c>
      <c r="D434" s="10" t="s">
        <v>1139</v>
      </c>
      <c r="E434" s="10" t="s">
        <v>1140</v>
      </c>
      <c r="J434" s="10" t="s">
        <v>1149</v>
      </c>
      <c r="K434" s="10">
        <v>1136</v>
      </c>
      <c r="L434" s="10">
        <v>686</v>
      </c>
      <c r="M434" s="10">
        <v>907</v>
      </c>
      <c r="N434" s="10">
        <v>0.71</v>
      </c>
      <c r="O434" s="10">
        <v>5.57</v>
      </c>
      <c r="P434" s="10">
        <v>1</v>
      </c>
      <c r="S434" s="10">
        <v>391</v>
      </c>
      <c r="T434" s="10">
        <v>368</v>
      </c>
      <c r="U434" s="10" t="s">
        <v>1517</v>
      </c>
    </row>
    <row r="435" spans="1:21" ht="15" x14ac:dyDescent="0.35">
      <c r="A435" s="10">
        <v>606</v>
      </c>
      <c r="C435" s="10" t="s">
        <v>1150</v>
      </c>
      <c r="D435" s="10" t="s">
        <v>1139</v>
      </c>
      <c r="E435" s="10" t="s">
        <v>1140</v>
      </c>
      <c r="J435" s="10" t="s">
        <v>1151</v>
      </c>
      <c r="K435" s="10">
        <v>1136</v>
      </c>
      <c r="L435" s="10">
        <v>686</v>
      </c>
      <c r="M435" s="10">
        <v>908</v>
      </c>
      <c r="N435" s="10">
        <v>0.71</v>
      </c>
      <c r="O435" s="10">
        <v>5.57</v>
      </c>
      <c r="P435" s="10">
        <v>1</v>
      </c>
      <c r="S435" s="10">
        <v>421</v>
      </c>
      <c r="T435" s="10">
        <v>398</v>
      </c>
      <c r="U435" s="10" t="s">
        <v>1517</v>
      </c>
    </row>
    <row r="436" spans="1:21" ht="15" x14ac:dyDescent="0.35">
      <c r="A436" s="10">
        <v>624</v>
      </c>
      <c r="C436" s="10" t="s">
        <v>1152</v>
      </c>
      <c r="D436" s="10" t="s">
        <v>1139</v>
      </c>
      <c r="E436" s="10" t="s">
        <v>1142</v>
      </c>
      <c r="J436" s="10" t="s">
        <v>1151</v>
      </c>
      <c r="K436" s="10">
        <v>1136</v>
      </c>
      <c r="L436" s="10">
        <v>686</v>
      </c>
      <c r="M436" s="10">
        <v>908</v>
      </c>
      <c r="N436" s="10">
        <v>0.72</v>
      </c>
      <c r="O436" s="10">
        <v>5.57</v>
      </c>
      <c r="P436" s="10">
        <v>1</v>
      </c>
      <c r="S436" s="10">
        <v>421</v>
      </c>
      <c r="T436" s="10">
        <v>398</v>
      </c>
      <c r="U436" s="10" t="s">
        <v>1517</v>
      </c>
    </row>
    <row r="437" spans="1:21" ht="15" x14ac:dyDescent="0.35">
      <c r="A437" s="10">
        <v>607</v>
      </c>
      <c r="C437" s="10" t="s">
        <v>1153</v>
      </c>
      <c r="D437" s="10" t="s">
        <v>1139</v>
      </c>
      <c r="E437" s="10" t="s">
        <v>1140</v>
      </c>
      <c r="J437" s="10" t="s">
        <v>1154</v>
      </c>
      <c r="K437" s="10">
        <v>1136</v>
      </c>
      <c r="L437" s="10">
        <v>686</v>
      </c>
      <c r="M437" s="10">
        <v>909</v>
      </c>
      <c r="N437" s="10">
        <v>0.71</v>
      </c>
      <c r="O437" s="10">
        <v>5.57</v>
      </c>
      <c r="P437" s="10">
        <v>1</v>
      </c>
      <c r="S437" s="10">
        <v>465</v>
      </c>
      <c r="T437" s="10">
        <v>433</v>
      </c>
      <c r="U437" s="10" t="s">
        <v>1517</v>
      </c>
    </row>
    <row r="438" spans="1:21" ht="15" x14ac:dyDescent="0.35">
      <c r="A438" s="10">
        <v>625</v>
      </c>
      <c r="C438" s="10" t="s">
        <v>1155</v>
      </c>
      <c r="D438" s="10" t="s">
        <v>1139</v>
      </c>
      <c r="E438" s="10" t="s">
        <v>1142</v>
      </c>
      <c r="J438" s="10" t="s">
        <v>1154</v>
      </c>
      <c r="K438" s="10">
        <v>1136</v>
      </c>
      <c r="L438" s="10">
        <v>686</v>
      </c>
      <c r="M438" s="10">
        <v>909</v>
      </c>
      <c r="N438" s="10">
        <v>0.71</v>
      </c>
      <c r="O438" s="10">
        <v>5.57</v>
      </c>
      <c r="P438" s="10">
        <v>1</v>
      </c>
      <c r="S438" s="10">
        <v>465</v>
      </c>
      <c r="T438" s="10">
        <v>433</v>
      </c>
      <c r="U438" s="10" t="s">
        <v>1517</v>
      </c>
    </row>
    <row r="439" spans="1:21" ht="15" x14ac:dyDescent="0.35">
      <c r="A439" s="10">
        <v>546</v>
      </c>
      <c r="C439" s="10" t="s">
        <v>1156</v>
      </c>
      <c r="D439" s="10" t="s">
        <v>1157</v>
      </c>
      <c r="E439" s="10" t="s">
        <v>1156</v>
      </c>
      <c r="J439" s="10" t="s">
        <v>1158</v>
      </c>
      <c r="K439" s="10">
        <v>1136</v>
      </c>
      <c r="L439" s="10">
        <v>886</v>
      </c>
      <c r="M439" s="10">
        <v>803</v>
      </c>
      <c r="N439" s="10">
        <v>0.81</v>
      </c>
      <c r="O439" s="10">
        <v>48</v>
      </c>
      <c r="P439" s="10">
        <v>2</v>
      </c>
      <c r="S439" s="10">
        <f>T439*2+O439</f>
        <v>232</v>
      </c>
      <c r="T439" s="10">
        <v>92</v>
      </c>
      <c r="U439" s="10" t="s">
        <v>1516</v>
      </c>
    </row>
    <row r="440" spans="1:21" ht="15" x14ac:dyDescent="0.35">
      <c r="A440" s="10">
        <v>581</v>
      </c>
      <c r="C440" s="10" t="s">
        <v>1159</v>
      </c>
      <c r="D440" s="10" t="s">
        <v>1123</v>
      </c>
      <c r="E440" s="10" t="s">
        <v>1159</v>
      </c>
      <c r="J440" s="10" t="s">
        <v>1158</v>
      </c>
      <c r="K440" s="10">
        <v>1136</v>
      </c>
      <c r="L440" s="10">
        <v>886</v>
      </c>
      <c r="M440" s="10">
        <v>803</v>
      </c>
      <c r="N440" s="10">
        <v>0.81</v>
      </c>
      <c r="O440" s="10">
        <v>58</v>
      </c>
      <c r="P440" s="10">
        <v>2</v>
      </c>
      <c r="T440" s="10" t="s">
        <v>1137</v>
      </c>
      <c r="U440" s="10" t="s">
        <v>1516</v>
      </c>
    </row>
    <row r="441" spans="1:21" ht="15" x14ac:dyDescent="0.35">
      <c r="A441" s="10">
        <v>582</v>
      </c>
      <c r="C441" s="10" t="s">
        <v>1160</v>
      </c>
      <c r="D441" s="10" t="s">
        <v>1160</v>
      </c>
      <c r="E441" s="10" t="s">
        <v>1160</v>
      </c>
      <c r="J441" s="10" t="s">
        <v>1158</v>
      </c>
      <c r="K441" s="10">
        <v>1136</v>
      </c>
      <c r="L441" s="10">
        <v>886</v>
      </c>
      <c r="M441" s="10">
        <v>803</v>
      </c>
      <c r="N441" s="10">
        <v>0.81</v>
      </c>
      <c r="O441" s="10">
        <v>58</v>
      </c>
      <c r="P441" s="10">
        <v>2</v>
      </c>
      <c r="T441" s="10" t="s">
        <v>1137</v>
      </c>
      <c r="U441" s="10" t="s">
        <v>1516</v>
      </c>
    </row>
    <row r="442" spans="1:21" ht="15" x14ac:dyDescent="0.35">
      <c r="A442" s="10">
        <v>515</v>
      </c>
      <c r="C442" s="10" t="s">
        <v>1161</v>
      </c>
      <c r="D442" s="10" t="s">
        <v>1105</v>
      </c>
      <c r="E442" s="10" t="s">
        <v>1118</v>
      </c>
      <c r="J442" s="10" t="s">
        <v>1162</v>
      </c>
      <c r="K442" s="10">
        <v>1140</v>
      </c>
      <c r="L442" s="10">
        <v>690</v>
      </c>
      <c r="M442" s="10">
        <v>550</v>
      </c>
      <c r="N442" s="10">
        <v>0.43</v>
      </c>
      <c r="O442" s="10">
        <v>4.5199999999999996</v>
      </c>
      <c r="P442" s="10">
        <v>2</v>
      </c>
      <c r="S442" s="10">
        <v>171</v>
      </c>
      <c r="T442" s="10">
        <v>73</v>
      </c>
      <c r="U442" s="10" t="s">
        <v>1517</v>
      </c>
    </row>
    <row r="443" spans="1:21" ht="15" x14ac:dyDescent="0.35">
      <c r="A443" s="10">
        <v>514</v>
      </c>
      <c r="C443" s="10" t="s">
        <v>1114</v>
      </c>
      <c r="D443" s="10" t="s">
        <v>1105</v>
      </c>
      <c r="E443" s="10" t="s">
        <v>1111</v>
      </c>
      <c r="J443" s="10" t="s">
        <v>1163</v>
      </c>
      <c r="K443" s="10">
        <v>1140</v>
      </c>
      <c r="L443" s="10">
        <v>690</v>
      </c>
      <c r="M443" s="10">
        <v>740</v>
      </c>
      <c r="N443" s="10">
        <v>0.57999999999999996</v>
      </c>
      <c r="O443" s="10">
        <v>4.5199999999999996</v>
      </c>
      <c r="P443" s="10">
        <v>2</v>
      </c>
      <c r="S443" s="10">
        <v>125</v>
      </c>
      <c r="T443" s="10">
        <v>100</v>
      </c>
      <c r="U443" s="10" t="s">
        <v>1517</v>
      </c>
    </row>
    <row r="444" spans="1:21" ht="15" x14ac:dyDescent="0.35">
      <c r="A444" s="10">
        <v>516</v>
      </c>
      <c r="C444" s="10" t="s">
        <v>1164</v>
      </c>
      <c r="D444" s="10" t="s">
        <v>1105</v>
      </c>
      <c r="E444" s="10" t="s">
        <v>1118</v>
      </c>
      <c r="J444" s="10" t="s">
        <v>1163</v>
      </c>
      <c r="K444" s="10">
        <v>1140</v>
      </c>
      <c r="L444" s="10">
        <v>690</v>
      </c>
      <c r="M444" s="10">
        <v>740</v>
      </c>
      <c r="N444" s="10">
        <v>0.57999999999999996</v>
      </c>
      <c r="O444" s="10">
        <v>4.5199999999999996</v>
      </c>
      <c r="P444" s="10">
        <v>2</v>
      </c>
      <c r="S444" s="10">
        <v>120</v>
      </c>
      <c r="T444" s="10">
        <v>102</v>
      </c>
      <c r="U444" s="10" t="s">
        <v>1517</v>
      </c>
    </row>
    <row r="445" spans="1:21" ht="15" x14ac:dyDescent="0.35">
      <c r="A445" s="10">
        <v>517</v>
      </c>
      <c r="C445" s="10" t="s">
        <v>1119</v>
      </c>
      <c r="D445" s="10" t="s">
        <v>1105</v>
      </c>
      <c r="E445" s="10" t="s">
        <v>1120</v>
      </c>
      <c r="J445" s="10" t="s">
        <v>1163</v>
      </c>
      <c r="K445" s="10">
        <v>1140</v>
      </c>
      <c r="L445" s="10">
        <v>690</v>
      </c>
      <c r="M445" s="10">
        <v>740</v>
      </c>
      <c r="N445" s="10">
        <v>0.57999999999999996</v>
      </c>
      <c r="O445" s="10">
        <v>4.5199999999999996</v>
      </c>
      <c r="P445" s="10">
        <v>2</v>
      </c>
      <c r="S445" s="10">
        <v>122</v>
      </c>
      <c r="T445" s="10">
        <v>102</v>
      </c>
      <c r="U445" s="10" t="s">
        <v>1517</v>
      </c>
    </row>
    <row r="446" spans="1:21" ht="15" x14ac:dyDescent="0.35">
      <c r="A446" s="10">
        <v>518</v>
      </c>
      <c r="C446" s="10" t="s">
        <v>1165</v>
      </c>
      <c r="D446" s="10" t="s">
        <v>1105</v>
      </c>
      <c r="E446" s="10" t="s">
        <v>1166</v>
      </c>
      <c r="J446" s="10" t="s">
        <v>1163</v>
      </c>
      <c r="K446" s="10">
        <v>1140</v>
      </c>
      <c r="L446" s="10">
        <v>690</v>
      </c>
      <c r="M446" s="10">
        <v>740</v>
      </c>
      <c r="N446" s="10">
        <v>0.57999999999999996</v>
      </c>
      <c r="O446" s="10">
        <v>4.5199999999999996</v>
      </c>
      <c r="P446" s="10">
        <v>2</v>
      </c>
      <c r="S446" s="10">
        <v>127</v>
      </c>
      <c r="T446" s="10">
        <v>102</v>
      </c>
      <c r="U446" s="10" t="s">
        <v>1517</v>
      </c>
    </row>
    <row r="447" spans="1:21" ht="15" x14ac:dyDescent="0.35">
      <c r="A447" s="10">
        <v>519</v>
      </c>
      <c r="C447" s="10" t="s">
        <v>1121</v>
      </c>
      <c r="D447" s="10" t="s">
        <v>1105</v>
      </c>
      <c r="E447" s="10" t="s">
        <v>1106</v>
      </c>
      <c r="J447" s="10" t="s">
        <v>1163</v>
      </c>
      <c r="K447" s="10">
        <v>1140</v>
      </c>
      <c r="L447" s="10">
        <v>690</v>
      </c>
      <c r="M447" s="10">
        <v>740</v>
      </c>
      <c r="N447" s="10">
        <v>0.57999999999999996</v>
      </c>
      <c r="O447" s="10">
        <v>4.5199999999999996</v>
      </c>
      <c r="P447" s="10">
        <v>1</v>
      </c>
      <c r="S447" s="10">
        <v>94</v>
      </c>
      <c r="T447" s="10">
        <v>73</v>
      </c>
      <c r="U447" s="10" t="s">
        <v>1517</v>
      </c>
    </row>
    <row r="448" spans="1:21" ht="15" x14ac:dyDescent="0.35">
      <c r="A448" s="10">
        <v>522</v>
      </c>
      <c r="C448" s="10" t="s">
        <v>1110</v>
      </c>
      <c r="D448" s="10" t="s">
        <v>1157</v>
      </c>
      <c r="E448" s="10" t="s">
        <v>1111</v>
      </c>
      <c r="J448" s="10" t="s">
        <v>1163</v>
      </c>
      <c r="K448" s="10">
        <v>1140</v>
      </c>
      <c r="L448" s="10">
        <v>690</v>
      </c>
      <c r="M448" s="10">
        <v>740</v>
      </c>
      <c r="N448" s="10">
        <v>0.57999999999999996</v>
      </c>
      <c r="O448" s="10">
        <v>4.5199999999999996</v>
      </c>
      <c r="P448" s="10">
        <v>2</v>
      </c>
      <c r="S448" s="10">
        <v>100</v>
      </c>
      <c r="T448" s="10">
        <v>75</v>
      </c>
      <c r="U448" s="10" t="s">
        <v>1517</v>
      </c>
    </row>
    <row r="449" spans="1:21" ht="15" x14ac:dyDescent="0.35">
      <c r="A449" s="10">
        <v>523</v>
      </c>
      <c r="C449" s="10" t="s">
        <v>1112</v>
      </c>
      <c r="D449" s="10" t="s">
        <v>1157</v>
      </c>
      <c r="E449" s="10" t="s">
        <v>1111</v>
      </c>
      <c r="J449" s="10" t="s">
        <v>1163</v>
      </c>
      <c r="K449" s="10">
        <v>1140</v>
      </c>
      <c r="L449" s="10">
        <v>690</v>
      </c>
      <c r="M449" s="10">
        <v>740</v>
      </c>
      <c r="N449" s="10">
        <v>0.57999999999999996</v>
      </c>
      <c r="O449" s="10">
        <v>4.5199999999999996</v>
      </c>
      <c r="P449" s="10">
        <v>2</v>
      </c>
      <c r="S449" s="10">
        <v>100</v>
      </c>
      <c r="T449" s="10">
        <v>75</v>
      </c>
      <c r="U449" s="10" t="s">
        <v>1517</v>
      </c>
    </row>
    <row r="450" spans="1:21" ht="15" x14ac:dyDescent="0.35">
      <c r="A450" s="10">
        <v>524</v>
      </c>
      <c r="C450" s="10" t="s">
        <v>1167</v>
      </c>
      <c r="D450" s="10" t="s">
        <v>1157</v>
      </c>
      <c r="E450" s="10" t="s">
        <v>1111</v>
      </c>
      <c r="J450" s="10" t="s">
        <v>1163</v>
      </c>
      <c r="K450" s="10">
        <v>1140</v>
      </c>
      <c r="L450" s="10">
        <v>690</v>
      </c>
      <c r="M450" s="10">
        <v>740</v>
      </c>
      <c r="N450" s="10">
        <v>0.57999999999999996</v>
      </c>
      <c r="O450" s="10">
        <v>4.5199999999999996</v>
      </c>
      <c r="P450" s="10">
        <v>2</v>
      </c>
      <c r="S450" s="10">
        <v>105</v>
      </c>
      <c r="T450" s="10">
        <v>80</v>
      </c>
      <c r="U450" s="10" t="s">
        <v>1517</v>
      </c>
    </row>
    <row r="451" spans="1:21" ht="15" x14ac:dyDescent="0.35">
      <c r="A451" s="10">
        <v>525</v>
      </c>
      <c r="C451" s="10" t="s">
        <v>1113</v>
      </c>
      <c r="D451" s="10" t="s">
        <v>1157</v>
      </c>
      <c r="E451" s="10" t="s">
        <v>1111</v>
      </c>
      <c r="J451" s="10" t="s">
        <v>1163</v>
      </c>
      <c r="K451" s="10">
        <v>1140</v>
      </c>
      <c r="L451" s="10">
        <v>690</v>
      </c>
      <c r="M451" s="10">
        <v>740</v>
      </c>
      <c r="N451" s="10">
        <v>0.57999999999999996</v>
      </c>
      <c r="O451" s="10">
        <v>4.5199999999999996</v>
      </c>
      <c r="P451" s="10">
        <v>2</v>
      </c>
      <c r="S451" s="10">
        <v>112</v>
      </c>
      <c r="T451" s="10">
        <v>87</v>
      </c>
      <c r="U451" s="10" t="s">
        <v>1517</v>
      </c>
    </row>
    <row r="452" spans="1:21" ht="15" x14ac:dyDescent="0.35">
      <c r="A452" s="10">
        <v>526</v>
      </c>
      <c r="C452" s="10" t="s">
        <v>1168</v>
      </c>
      <c r="D452" s="10" t="s">
        <v>1157</v>
      </c>
      <c r="E452" s="10" t="s">
        <v>1169</v>
      </c>
      <c r="J452" s="10" t="s">
        <v>1163</v>
      </c>
      <c r="K452" s="10">
        <v>1140</v>
      </c>
      <c r="L452" s="10">
        <v>690</v>
      </c>
      <c r="M452" s="10">
        <v>740</v>
      </c>
      <c r="N452" s="10">
        <v>0.57999999999999996</v>
      </c>
      <c r="O452" s="10">
        <v>4.5199999999999996</v>
      </c>
      <c r="P452" s="10">
        <v>2</v>
      </c>
      <c r="S452" s="10">
        <v>102</v>
      </c>
      <c r="T452" s="10">
        <v>92</v>
      </c>
      <c r="U452" s="10" t="s">
        <v>1517</v>
      </c>
    </row>
    <row r="453" spans="1:21" ht="15" x14ac:dyDescent="0.35">
      <c r="A453" s="10">
        <v>527</v>
      </c>
      <c r="C453" s="10" t="s">
        <v>1170</v>
      </c>
      <c r="D453" s="10" t="s">
        <v>1157</v>
      </c>
      <c r="E453" s="10" t="s">
        <v>1116</v>
      </c>
      <c r="J453" s="10" t="s">
        <v>1163</v>
      </c>
      <c r="K453" s="10">
        <v>1140</v>
      </c>
      <c r="L453" s="10">
        <v>690</v>
      </c>
      <c r="M453" s="10">
        <v>740</v>
      </c>
      <c r="N453" s="10">
        <v>0.57999999999999996</v>
      </c>
      <c r="O453" s="10">
        <v>4.5199999999999996</v>
      </c>
      <c r="P453" s="10">
        <v>2</v>
      </c>
      <c r="S453" s="10">
        <v>115</v>
      </c>
      <c r="T453" s="10">
        <v>66</v>
      </c>
      <c r="U453" s="10" t="s">
        <v>1517</v>
      </c>
    </row>
    <row r="454" spans="1:21" ht="15" x14ac:dyDescent="0.35">
      <c r="A454" s="10">
        <v>528</v>
      </c>
      <c r="C454" s="10" t="s">
        <v>1171</v>
      </c>
      <c r="D454" s="10" t="s">
        <v>1157</v>
      </c>
      <c r="E454" s="10" t="s">
        <v>1116</v>
      </c>
      <c r="J454" s="10" t="s">
        <v>1163</v>
      </c>
      <c r="K454" s="10">
        <v>1140</v>
      </c>
      <c r="L454" s="10">
        <v>690</v>
      </c>
      <c r="M454" s="10">
        <v>740</v>
      </c>
      <c r="N454" s="10">
        <v>0.57999999999999996</v>
      </c>
      <c r="O454" s="10">
        <v>4.5199999999999996</v>
      </c>
      <c r="P454" s="10">
        <v>2</v>
      </c>
      <c r="S454" s="10">
        <v>95</v>
      </c>
      <c r="T454" s="10">
        <v>75</v>
      </c>
      <c r="U454" s="10" t="s">
        <v>1517</v>
      </c>
    </row>
    <row r="455" spans="1:21" ht="15" x14ac:dyDescent="0.35">
      <c r="A455" s="10">
        <v>529</v>
      </c>
      <c r="C455" s="10" t="s">
        <v>1172</v>
      </c>
      <c r="D455" s="10" t="s">
        <v>1157</v>
      </c>
      <c r="E455" s="10" t="s">
        <v>1116</v>
      </c>
      <c r="J455" s="10" t="s">
        <v>1163</v>
      </c>
      <c r="K455" s="10">
        <v>1140</v>
      </c>
      <c r="L455" s="10">
        <v>690</v>
      </c>
      <c r="M455" s="10">
        <v>740</v>
      </c>
      <c r="N455" s="10">
        <v>0.57999999999999996</v>
      </c>
      <c r="O455" s="10">
        <v>4.5199999999999996</v>
      </c>
      <c r="P455" s="10">
        <v>2</v>
      </c>
      <c r="S455" s="10">
        <v>100</v>
      </c>
      <c r="T455" s="10">
        <v>80</v>
      </c>
      <c r="U455" s="10" t="s">
        <v>1517</v>
      </c>
    </row>
    <row r="456" spans="1:21" ht="15" x14ac:dyDescent="0.35">
      <c r="A456" s="10">
        <v>530</v>
      </c>
      <c r="C456" s="10" t="s">
        <v>1173</v>
      </c>
      <c r="D456" s="10" t="s">
        <v>1157</v>
      </c>
      <c r="E456" s="10" t="s">
        <v>1116</v>
      </c>
      <c r="J456" s="10" t="s">
        <v>1163</v>
      </c>
      <c r="K456" s="10">
        <v>1140</v>
      </c>
      <c r="L456" s="10">
        <v>690</v>
      </c>
      <c r="M456" s="10">
        <v>740</v>
      </c>
      <c r="N456" s="10">
        <v>0.57999999999999996</v>
      </c>
      <c r="O456" s="10">
        <v>4.5199999999999996</v>
      </c>
      <c r="P456" s="10">
        <v>2</v>
      </c>
      <c r="S456" s="10">
        <v>107</v>
      </c>
      <c r="T456" s="10">
        <v>87</v>
      </c>
      <c r="U456" s="10" t="s">
        <v>1517</v>
      </c>
    </row>
    <row r="457" spans="1:21" ht="15" x14ac:dyDescent="0.35">
      <c r="A457" s="10">
        <v>531</v>
      </c>
      <c r="C457" s="10" t="s">
        <v>1174</v>
      </c>
      <c r="D457" s="10" t="s">
        <v>1157</v>
      </c>
      <c r="E457" s="10" t="s">
        <v>1116</v>
      </c>
      <c r="J457" s="10" t="s">
        <v>1163</v>
      </c>
      <c r="K457" s="10">
        <v>1140</v>
      </c>
      <c r="L457" s="10">
        <v>690</v>
      </c>
      <c r="M457" s="10">
        <v>740</v>
      </c>
      <c r="N457" s="10">
        <v>0.57999999999999996</v>
      </c>
      <c r="O457" s="10">
        <v>4.5199999999999996</v>
      </c>
      <c r="P457" s="10">
        <v>2</v>
      </c>
      <c r="S457" s="10">
        <v>102</v>
      </c>
      <c r="T457" s="10">
        <v>92</v>
      </c>
      <c r="U457" s="10" t="s">
        <v>1517</v>
      </c>
    </row>
    <row r="458" spans="1:21" ht="15" x14ac:dyDescent="0.35">
      <c r="A458" s="10">
        <v>532</v>
      </c>
      <c r="C458" s="10" t="s">
        <v>1115</v>
      </c>
      <c r="D458" s="10" t="s">
        <v>1157</v>
      </c>
      <c r="E458" s="10" t="s">
        <v>1116</v>
      </c>
      <c r="J458" s="10" t="s">
        <v>1163</v>
      </c>
      <c r="K458" s="10">
        <v>1140</v>
      </c>
      <c r="L458" s="10">
        <v>690</v>
      </c>
      <c r="M458" s="10">
        <v>740</v>
      </c>
      <c r="N458" s="10">
        <v>0.57999999999999996</v>
      </c>
      <c r="O458" s="10">
        <v>4.5199999999999996</v>
      </c>
      <c r="P458" s="10">
        <v>2</v>
      </c>
      <c r="S458" s="10">
        <v>149</v>
      </c>
      <c r="T458" s="10">
        <v>100</v>
      </c>
      <c r="U458" s="10" t="s">
        <v>1517</v>
      </c>
    </row>
    <row r="459" spans="1:21" ht="15" x14ac:dyDescent="0.35">
      <c r="A459" s="10">
        <v>533</v>
      </c>
      <c r="C459" s="10" t="s">
        <v>1117</v>
      </c>
      <c r="D459" s="10" t="s">
        <v>1157</v>
      </c>
      <c r="E459" s="10" t="s">
        <v>1118</v>
      </c>
      <c r="J459" s="10" t="s">
        <v>1163</v>
      </c>
      <c r="K459" s="10">
        <v>1140</v>
      </c>
      <c r="L459" s="10">
        <v>690</v>
      </c>
      <c r="M459" s="10">
        <v>740</v>
      </c>
      <c r="N459" s="10">
        <v>0.57999999999999996</v>
      </c>
      <c r="O459" s="10">
        <v>4.5199999999999996</v>
      </c>
      <c r="P459" s="10">
        <v>2</v>
      </c>
      <c r="S459" s="10">
        <v>105</v>
      </c>
      <c r="T459" s="10">
        <v>85</v>
      </c>
      <c r="U459" s="10" t="s">
        <v>1517</v>
      </c>
    </row>
    <row r="460" spans="1:21" ht="15" x14ac:dyDescent="0.35">
      <c r="A460" s="10">
        <v>534</v>
      </c>
      <c r="C460" s="10" t="s">
        <v>1175</v>
      </c>
      <c r="D460" s="10" t="s">
        <v>1157</v>
      </c>
      <c r="E460" s="10" t="s">
        <v>1118</v>
      </c>
      <c r="J460" s="10" t="s">
        <v>1163</v>
      </c>
      <c r="K460" s="10">
        <v>1140</v>
      </c>
      <c r="L460" s="10">
        <v>690</v>
      </c>
      <c r="M460" s="10">
        <v>740</v>
      </c>
      <c r="N460" s="10">
        <v>0.57999999999999996</v>
      </c>
      <c r="O460" s="10">
        <v>4.5199999999999996</v>
      </c>
      <c r="P460" s="10">
        <v>2</v>
      </c>
      <c r="S460" s="10">
        <v>107</v>
      </c>
      <c r="T460" s="10">
        <v>87</v>
      </c>
      <c r="U460" s="10" t="s">
        <v>1517</v>
      </c>
    </row>
    <row r="461" spans="1:21" ht="15" x14ac:dyDescent="0.35">
      <c r="A461" s="10">
        <v>535</v>
      </c>
      <c r="C461" s="10" t="s">
        <v>1176</v>
      </c>
      <c r="D461" s="10" t="s">
        <v>1157</v>
      </c>
      <c r="E461" s="10" t="s">
        <v>1118</v>
      </c>
      <c r="J461" s="10" t="s">
        <v>1163</v>
      </c>
      <c r="K461" s="10">
        <v>1140</v>
      </c>
      <c r="L461" s="10">
        <v>690</v>
      </c>
      <c r="M461" s="10">
        <v>740</v>
      </c>
      <c r="N461" s="10">
        <v>0.57999999999999996</v>
      </c>
      <c r="O461" s="10">
        <v>4.5199999999999996</v>
      </c>
      <c r="P461" s="10">
        <v>2</v>
      </c>
      <c r="S461" s="10">
        <v>102</v>
      </c>
      <c r="T461" s="10">
        <v>92</v>
      </c>
      <c r="U461" s="10" t="s">
        <v>1517</v>
      </c>
    </row>
    <row r="462" spans="1:21" ht="15" x14ac:dyDescent="0.35">
      <c r="A462" s="10">
        <v>536</v>
      </c>
      <c r="C462" s="10" t="s">
        <v>1177</v>
      </c>
      <c r="D462" s="10" t="s">
        <v>1157</v>
      </c>
      <c r="E462" s="10" t="s">
        <v>1120</v>
      </c>
      <c r="J462" s="10" t="s">
        <v>1163</v>
      </c>
      <c r="K462" s="10">
        <v>1140</v>
      </c>
      <c r="L462" s="10">
        <v>690</v>
      </c>
      <c r="M462" s="10">
        <v>740</v>
      </c>
      <c r="N462" s="10">
        <v>0.57999999999999996</v>
      </c>
      <c r="O462" s="10">
        <v>4.5199999999999996</v>
      </c>
      <c r="P462" s="10">
        <v>2</v>
      </c>
      <c r="S462" s="10">
        <v>90</v>
      </c>
      <c r="T462" s="10">
        <v>70</v>
      </c>
      <c r="U462" s="10" t="s">
        <v>1517</v>
      </c>
    </row>
    <row r="463" spans="1:21" ht="15" x14ac:dyDescent="0.35">
      <c r="A463" s="10">
        <v>537</v>
      </c>
      <c r="C463" s="10" t="s">
        <v>1178</v>
      </c>
      <c r="D463" s="10" t="s">
        <v>1157</v>
      </c>
      <c r="E463" s="10" t="s">
        <v>1120</v>
      </c>
      <c r="J463" s="10" t="s">
        <v>1163</v>
      </c>
      <c r="K463" s="10">
        <v>1140</v>
      </c>
      <c r="L463" s="10">
        <v>690</v>
      </c>
      <c r="M463" s="10">
        <v>740</v>
      </c>
      <c r="N463" s="10">
        <v>0.57999999999999996</v>
      </c>
      <c r="O463" s="10">
        <v>4.5199999999999996</v>
      </c>
      <c r="P463" s="10">
        <v>2</v>
      </c>
      <c r="S463" s="10">
        <v>95</v>
      </c>
      <c r="T463" s="10">
        <v>75</v>
      </c>
      <c r="U463" s="10" t="s">
        <v>1517</v>
      </c>
    </row>
    <row r="464" spans="1:21" ht="15" x14ac:dyDescent="0.35">
      <c r="A464" s="10">
        <v>538</v>
      </c>
      <c r="C464" s="10" t="s">
        <v>1179</v>
      </c>
      <c r="D464" s="10" t="s">
        <v>1157</v>
      </c>
      <c r="E464" s="10" t="s">
        <v>1120</v>
      </c>
      <c r="J464" s="10" t="s">
        <v>1163</v>
      </c>
      <c r="K464" s="10">
        <v>1140</v>
      </c>
      <c r="L464" s="10">
        <v>690</v>
      </c>
      <c r="M464" s="10">
        <v>740</v>
      </c>
      <c r="N464" s="10">
        <v>0.57999999999999996</v>
      </c>
      <c r="O464" s="10">
        <v>4.5199999999999996</v>
      </c>
      <c r="P464" s="10">
        <v>2</v>
      </c>
      <c r="S464" s="10">
        <v>100</v>
      </c>
      <c r="T464" s="10">
        <v>80</v>
      </c>
      <c r="U464" s="10" t="s">
        <v>1517</v>
      </c>
    </row>
    <row r="465" spans="1:21" ht="15" x14ac:dyDescent="0.35">
      <c r="A465" s="10">
        <v>539</v>
      </c>
      <c r="C465" s="10" t="s">
        <v>1180</v>
      </c>
      <c r="D465" s="10" t="s">
        <v>1157</v>
      </c>
      <c r="E465" s="10" t="s">
        <v>1120</v>
      </c>
      <c r="J465" s="10" t="s">
        <v>1163</v>
      </c>
      <c r="K465" s="10">
        <v>1140</v>
      </c>
      <c r="L465" s="10">
        <v>690</v>
      </c>
      <c r="M465" s="10">
        <v>740</v>
      </c>
      <c r="N465" s="10">
        <v>0.57999999999999996</v>
      </c>
      <c r="O465" s="10">
        <v>4.5199999999999996</v>
      </c>
      <c r="P465" s="10">
        <v>2</v>
      </c>
      <c r="S465" s="10">
        <v>107</v>
      </c>
      <c r="T465" s="10">
        <v>87</v>
      </c>
      <c r="U465" s="10" t="s">
        <v>1517</v>
      </c>
    </row>
    <row r="466" spans="1:21" ht="15" x14ac:dyDescent="0.35">
      <c r="A466" s="10">
        <v>540</v>
      </c>
      <c r="C466" s="10" t="s">
        <v>1181</v>
      </c>
      <c r="D466" s="10" t="s">
        <v>1157</v>
      </c>
      <c r="E466" s="10" t="s">
        <v>1120</v>
      </c>
      <c r="J466" s="10" t="s">
        <v>1163</v>
      </c>
      <c r="K466" s="10">
        <v>1140</v>
      </c>
      <c r="L466" s="10">
        <v>690</v>
      </c>
      <c r="M466" s="10">
        <v>740</v>
      </c>
      <c r="N466" s="10">
        <v>0.57999999999999996</v>
      </c>
      <c r="O466" s="10">
        <v>4.5199999999999996</v>
      </c>
      <c r="P466" s="10">
        <v>2</v>
      </c>
      <c r="S466" s="10">
        <v>136</v>
      </c>
      <c r="T466" s="10">
        <v>116</v>
      </c>
      <c r="U466" s="10" t="s">
        <v>1517</v>
      </c>
    </row>
    <row r="467" spans="1:21" ht="15" x14ac:dyDescent="0.35">
      <c r="A467" s="10">
        <v>541</v>
      </c>
      <c r="C467" s="10" t="s">
        <v>1182</v>
      </c>
      <c r="D467" s="10" t="s">
        <v>1157</v>
      </c>
      <c r="E467" s="10" t="s">
        <v>1120</v>
      </c>
      <c r="J467" s="10" t="s">
        <v>1163</v>
      </c>
      <c r="K467" s="10">
        <v>1140</v>
      </c>
      <c r="L467" s="10">
        <v>690</v>
      </c>
      <c r="M467" s="10">
        <v>740</v>
      </c>
      <c r="N467" s="10">
        <v>0.57999999999999996</v>
      </c>
      <c r="O467" s="10">
        <v>4.5199999999999996</v>
      </c>
      <c r="P467" s="10">
        <v>2</v>
      </c>
      <c r="S467" s="10">
        <v>123</v>
      </c>
      <c r="T467" s="10">
        <v>103</v>
      </c>
      <c r="U467" s="10" t="s">
        <v>1517</v>
      </c>
    </row>
    <row r="468" spans="1:21" ht="15" x14ac:dyDescent="0.35">
      <c r="A468" s="10">
        <v>542</v>
      </c>
      <c r="C468" s="10" t="s">
        <v>1183</v>
      </c>
      <c r="D468" s="10" t="s">
        <v>1157</v>
      </c>
      <c r="E468" s="10" t="s">
        <v>1166</v>
      </c>
      <c r="J468" s="10" t="s">
        <v>1163</v>
      </c>
      <c r="K468" s="10">
        <v>1140</v>
      </c>
      <c r="L468" s="10">
        <v>690</v>
      </c>
      <c r="M468" s="10">
        <v>740</v>
      </c>
      <c r="N468" s="10">
        <v>0.57999999999999996</v>
      </c>
      <c r="O468" s="10">
        <v>4.5199999999999996</v>
      </c>
      <c r="P468" s="10">
        <v>2</v>
      </c>
      <c r="S468" s="10">
        <v>95</v>
      </c>
      <c r="T468" s="10">
        <v>75</v>
      </c>
      <c r="U468" s="10" t="s">
        <v>1517</v>
      </c>
    </row>
    <row r="469" spans="1:21" ht="15" x14ac:dyDescent="0.35">
      <c r="A469" s="10">
        <v>543</v>
      </c>
      <c r="C469" s="10" t="s">
        <v>1184</v>
      </c>
      <c r="D469" s="10" t="s">
        <v>1157</v>
      </c>
      <c r="E469" s="10" t="s">
        <v>1166</v>
      </c>
      <c r="J469" s="10" t="s">
        <v>1163</v>
      </c>
      <c r="K469" s="10">
        <v>1140</v>
      </c>
      <c r="L469" s="10">
        <v>690</v>
      </c>
      <c r="M469" s="10">
        <v>740</v>
      </c>
      <c r="N469" s="10">
        <v>0.57999999999999996</v>
      </c>
      <c r="O469" s="10">
        <v>4.5199999999999996</v>
      </c>
      <c r="P469" s="10">
        <v>2</v>
      </c>
      <c r="S469" s="10">
        <v>105</v>
      </c>
      <c r="T469" s="10">
        <v>85</v>
      </c>
      <c r="U469" s="10" t="s">
        <v>1517</v>
      </c>
    </row>
    <row r="470" spans="1:21" ht="15" x14ac:dyDescent="0.35">
      <c r="A470" s="10">
        <v>544</v>
      </c>
      <c r="C470" s="10" t="s">
        <v>1185</v>
      </c>
      <c r="D470" s="10" t="s">
        <v>1157</v>
      </c>
      <c r="E470" s="10" t="s">
        <v>1166</v>
      </c>
      <c r="J470" s="10" t="s">
        <v>1163</v>
      </c>
      <c r="K470" s="10">
        <v>1140</v>
      </c>
      <c r="L470" s="10">
        <v>690</v>
      </c>
      <c r="M470" s="10">
        <v>740</v>
      </c>
      <c r="N470" s="10">
        <v>0.57999999999999996</v>
      </c>
      <c r="O470" s="10">
        <v>4.5199999999999996</v>
      </c>
      <c r="P470" s="10">
        <v>2</v>
      </c>
      <c r="S470" s="10">
        <v>107</v>
      </c>
      <c r="T470" s="10">
        <v>87</v>
      </c>
      <c r="U470" s="10" t="s">
        <v>1517</v>
      </c>
    </row>
    <row r="471" spans="1:21" ht="15" x14ac:dyDescent="0.35">
      <c r="A471" s="10">
        <v>545</v>
      </c>
      <c r="C471" s="10" t="s">
        <v>1186</v>
      </c>
      <c r="D471" s="10" t="s">
        <v>1157</v>
      </c>
      <c r="E471" s="10" t="s">
        <v>1166</v>
      </c>
      <c r="J471" s="10" t="s">
        <v>1163</v>
      </c>
      <c r="K471" s="10">
        <v>1140</v>
      </c>
      <c r="L471" s="10">
        <v>690</v>
      </c>
      <c r="M471" s="10">
        <v>740</v>
      </c>
      <c r="N471" s="10">
        <v>0.57999999999999996</v>
      </c>
      <c r="O471" s="10">
        <v>4.5199999999999996</v>
      </c>
      <c r="P471" s="10">
        <v>2</v>
      </c>
      <c r="S471" s="10">
        <v>117</v>
      </c>
      <c r="T471" s="10">
        <v>92</v>
      </c>
      <c r="U471" s="10" t="s">
        <v>1517</v>
      </c>
    </row>
    <row r="472" spans="1:21" ht="15" x14ac:dyDescent="0.35">
      <c r="A472" s="10">
        <v>585</v>
      </c>
      <c r="C472" s="10" t="s">
        <v>1187</v>
      </c>
      <c r="D472" s="10" t="s">
        <v>1188</v>
      </c>
      <c r="E472" s="10" t="s">
        <v>1189</v>
      </c>
      <c r="J472" s="10" t="s">
        <v>1190</v>
      </c>
      <c r="K472" s="10">
        <v>1140</v>
      </c>
      <c r="L472" s="10">
        <v>690</v>
      </c>
      <c r="M472" s="10">
        <v>920</v>
      </c>
      <c r="N472" s="10">
        <v>0.72</v>
      </c>
      <c r="O472" s="10">
        <v>5.57</v>
      </c>
      <c r="P472" s="10">
        <v>1</v>
      </c>
      <c r="S472" s="10">
        <v>500</v>
      </c>
      <c r="T472" s="10">
        <v>429</v>
      </c>
      <c r="U472" s="10" t="s">
        <v>1517</v>
      </c>
    </row>
    <row r="473" spans="1:21" ht="15" x14ac:dyDescent="0.35">
      <c r="A473" s="10">
        <v>586</v>
      </c>
      <c r="C473" s="10" t="s">
        <v>1191</v>
      </c>
      <c r="D473" s="10" t="s">
        <v>1188</v>
      </c>
      <c r="E473" s="10" t="s">
        <v>1192</v>
      </c>
      <c r="J473" s="10" t="s">
        <v>1190</v>
      </c>
      <c r="K473" s="10">
        <v>1140</v>
      </c>
      <c r="L473" s="10">
        <v>690</v>
      </c>
      <c r="M473" s="10">
        <v>920</v>
      </c>
      <c r="N473" s="10">
        <v>0.72</v>
      </c>
      <c r="O473" s="10">
        <v>5.57</v>
      </c>
      <c r="P473" s="10">
        <v>1</v>
      </c>
      <c r="S473" s="10">
        <v>453</v>
      </c>
      <c r="T473" s="10">
        <v>433</v>
      </c>
      <c r="U473" s="10" t="s">
        <v>1517</v>
      </c>
    </row>
    <row r="474" spans="1:21" ht="15" x14ac:dyDescent="0.35">
      <c r="A474" s="10">
        <v>587</v>
      </c>
      <c r="C474" s="10" t="s">
        <v>1193</v>
      </c>
      <c r="D474" s="10" t="s">
        <v>1188</v>
      </c>
      <c r="E474" s="10" t="s">
        <v>1194</v>
      </c>
      <c r="J474" s="10" t="s">
        <v>1190</v>
      </c>
      <c r="K474" s="10">
        <v>1140</v>
      </c>
      <c r="L474" s="10">
        <v>690</v>
      </c>
      <c r="M474" s="10">
        <v>920</v>
      </c>
      <c r="N474" s="10">
        <v>0.72</v>
      </c>
      <c r="O474" s="10">
        <v>5.57</v>
      </c>
      <c r="P474" s="10">
        <v>1</v>
      </c>
      <c r="S474" s="10">
        <v>576</v>
      </c>
      <c r="T474" s="10">
        <v>550</v>
      </c>
      <c r="U474" s="10" t="s">
        <v>1517</v>
      </c>
    </row>
    <row r="475" spans="1:21" ht="15" x14ac:dyDescent="0.35">
      <c r="A475" s="10">
        <v>588</v>
      </c>
      <c r="C475" s="10" t="s">
        <v>1195</v>
      </c>
      <c r="D475" s="10" t="s">
        <v>1188</v>
      </c>
      <c r="E475" s="10" t="s">
        <v>1196</v>
      </c>
      <c r="J475" s="10" t="s">
        <v>1190</v>
      </c>
      <c r="K475" s="10">
        <v>1140</v>
      </c>
      <c r="L475" s="10">
        <v>690</v>
      </c>
      <c r="M475" s="10">
        <v>920</v>
      </c>
      <c r="N475" s="10">
        <v>0.72</v>
      </c>
      <c r="O475" s="10">
        <v>5.57</v>
      </c>
      <c r="P475" s="10">
        <v>1</v>
      </c>
      <c r="S475" s="10">
        <v>453</v>
      </c>
      <c r="T475" s="10">
        <v>433</v>
      </c>
      <c r="U475" s="10" t="s">
        <v>1517</v>
      </c>
    </row>
    <row r="476" spans="1:21" ht="15" x14ac:dyDescent="0.35">
      <c r="A476" s="10">
        <v>589</v>
      </c>
      <c r="C476" s="10" t="s">
        <v>1197</v>
      </c>
      <c r="D476" s="10" t="s">
        <v>1188</v>
      </c>
      <c r="E476" s="10" t="s">
        <v>1198</v>
      </c>
      <c r="J476" s="10" t="s">
        <v>1190</v>
      </c>
      <c r="K476" s="10">
        <v>1140</v>
      </c>
      <c r="L476" s="10">
        <v>690</v>
      </c>
      <c r="M476" s="10">
        <v>920</v>
      </c>
      <c r="N476" s="10">
        <v>0.72</v>
      </c>
      <c r="O476" s="10">
        <v>5.57</v>
      </c>
      <c r="P476" s="10">
        <v>1</v>
      </c>
      <c r="S476" s="10">
        <v>459</v>
      </c>
      <c r="T476" s="10">
        <v>433</v>
      </c>
      <c r="U476" s="10" t="s">
        <v>1517</v>
      </c>
    </row>
    <row r="477" spans="1:21" ht="15" x14ac:dyDescent="0.35">
      <c r="A477" s="10">
        <v>608</v>
      </c>
      <c r="C477" s="10" t="s">
        <v>1199</v>
      </c>
      <c r="D477" s="10" t="s">
        <v>1139</v>
      </c>
      <c r="E477" s="10" t="s">
        <v>1189</v>
      </c>
      <c r="J477" s="10" t="s">
        <v>1190</v>
      </c>
      <c r="K477" s="10">
        <v>1140</v>
      </c>
      <c r="L477" s="10">
        <v>690</v>
      </c>
      <c r="M477" s="10">
        <v>920</v>
      </c>
      <c r="N477" s="10">
        <v>0.72</v>
      </c>
      <c r="O477" s="10">
        <v>5.57</v>
      </c>
      <c r="P477" s="10">
        <v>1</v>
      </c>
      <c r="S477" s="10">
        <v>362</v>
      </c>
      <c r="T477" s="10">
        <v>291</v>
      </c>
      <c r="U477" s="10" t="s">
        <v>1517</v>
      </c>
    </row>
    <row r="478" spans="1:21" ht="15" x14ac:dyDescent="0.35">
      <c r="A478" s="10">
        <v>609</v>
      </c>
      <c r="C478" s="10" t="s">
        <v>1200</v>
      </c>
      <c r="D478" s="10" t="s">
        <v>1139</v>
      </c>
      <c r="E478" s="10" t="s">
        <v>1189</v>
      </c>
      <c r="J478" s="10" t="s">
        <v>1190</v>
      </c>
      <c r="K478" s="10">
        <v>1140</v>
      </c>
      <c r="L478" s="10">
        <v>690</v>
      </c>
      <c r="M478" s="10">
        <v>920</v>
      </c>
      <c r="N478" s="10">
        <v>0.72</v>
      </c>
      <c r="O478" s="10">
        <v>5.57</v>
      </c>
      <c r="P478" s="10">
        <v>1</v>
      </c>
      <c r="S478" s="10">
        <v>352</v>
      </c>
      <c r="T478" s="10">
        <v>332</v>
      </c>
      <c r="U478" s="10" t="s">
        <v>1517</v>
      </c>
    </row>
    <row r="479" spans="1:21" ht="15" x14ac:dyDescent="0.35">
      <c r="A479" s="10">
        <v>610</v>
      </c>
      <c r="C479" s="10" t="s">
        <v>1201</v>
      </c>
      <c r="D479" s="10" t="s">
        <v>1139</v>
      </c>
      <c r="E479" s="10" t="s">
        <v>1189</v>
      </c>
      <c r="J479" s="10" t="s">
        <v>1190</v>
      </c>
      <c r="K479" s="10">
        <v>1140</v>
      </c>
      <c r="L479" s="10">
        <v>690</v>
      </c>
      <c r="M479" s="10">
        <v>920</v>
      </c>
      <c r="N479" s="10">
        <v>0.72</v>
      </c>
      <c r="O479" s="10">
        <v>5.57</v>
      </c>
      <c r="P479" s="10">
        <v>1</v>
      </c>
      <c r="S479" s="10">
        <v>420</v>
      </c>
      <c r="T479" s="10">
        <v>400</v>
      </c>
      <c r="U479" s="10" t="s">
        <v>1517</v>
      </c>
    </row>
    <row r="480" spans="1:21" ht="15" x14ac:dyDescent="0.35">
      <c r="A480" s="10">
        <v>611</v>
      </c>
      <c r="C480" s="10" t="s">
        <v>1202</v>
      </c>
      <c r="D480" s="10" t="s">
        <v>1139</v>
      </c>
      <c r="E480" s="10" t="s">
        <v>1192</v>
      </c>
      <c r="J480" s="10" t="s">
        <v>1190</v>
      </c>
      <c r="K480" s="10">
        <v>1140</v>
      </c>
      <c r="L480" s="10">
        <v>690</v>
      </c>
      <c r="M480" s="10">
        <v>920</v>
      </c>
      <c r="N480" s="10">
        <v>0.72</v>
      </c>
      <c r="O480" s="10">
        <v>5.57</v>
      </c>
      <c r="P480" s="10">
        <v>1</v>
      </c>
      <c r="S480" s="10">
        <v>320</v>
      </c>
      <c r="T480" s="10">
        <v>295</v>
      </c>
      <c r="U480" s="10" t="s">
        <v>1517</v>
      </c>
    </row>
    <row r="481" spans="1:21" ht="15" x14ac:dyDescent="0.35">
      <c r="A481" s="10">
        <v>612</v>
      </c>
      <c r="C481" s="10" t="s">
        <v>1203</v>
      </c>
      <c r="D481" s="10" t="s">
        <v>1139</v>
      </c>
      <c r="E481" s="10" t="s">
        <v>1192</v>
      </c>
      <c r="J481" s="10" t="s">
        <v>1190</v>
      </c>
      <c r="K481" s="10">
        <v>1140</v>
      </c>
      <c r="L481" s="10">
        <v>690</v>
      </c>
      <c r="M481" s="10">
        <v>920</v>
      </c>
      <c r="N481" s="10">
        <v>0.72</v>
      </c>
      <c r="O481" s="10">
        <v>5.57</v>
      </c>
      <c r="P481" s="10">
        <v>1</v>
      </c>
      <c r="S481" s="10">
        <v>352</v>
      </c>
      <c r="T481" s="10">
        <v>332</v>
      </c>
      <c r="U481" s="10" t="s">
        <v>1517</v>
      </c>
    </row>
    <row r="482" spans="1:21" ht="15" x14ac:dyDescent="0.35">
      <c r="A482" s="10">
        <v>613</v>
      </c>
      <c r="C482" s="10" t="s">
        <v>1204</v>
      </c>
      <c r="D482" s="10" t="s">
        <v>1139</v>
      </c>
      <c r="E482" s="10" t="s">
        <v>1192</v>
      </c>
      <c r="J482" s="10" t="s">
        <v>1190</v>
      </c>
      <c r="K482" s="10">
        <v>1140</v>
      </c>
      <c r="L482" s="10">
        <v>690</v>
      </c>
      <c r="M482" s="10">
        <v>920</v>
      </c>
      <c r="N482" s="10">
        <v>0.72</v>
      </c>
      <c r="O482" s="10">
        <v>5.57</v>
      </c>
      <c r="P482" s="10">
        <v>1</v>
      </c>
      <c r="S482" s="10">
        <v>420</v>
      </c>
      <c r="T482" s="10">
        <v>400</v>
      </c>
      <c r="U482" s="10" t="s">
        <v>1517</v>
      </c>
    </row>
    <row r="483" spans="1:21" ht="15" x14ac:dyDescent="0.35">
      <c r="A483" s="10">
        <v>614</v>
      </c>
      <c r="C483" s="10" t="s">
        <v>1205</v>
      </c>
      <c r="D483" s="10" t="s">
        <v>1139</v>
      </c>
      <c r="E483" s="10" t="s">
        <v>1196</v>
      </c>
      <c r="J483" s="10" t="s">
        <v>1190</v>
      </c>
      <c r="K483" s="10">
        <v>1140</v>
      </c>
      <c r="L483" s="10">
        <v>690</v>
      </c>
      <c r="M483" s="10">
        <v>920</v>
      </c>
      <c r="N483" s="10">
        <v>0.72</v>
      </c>
      <c r="O483" s="10">
        <v>5.57</v>
      </c>
      <c r="P483" s="10">
        <v>1</v>
      </c>
      <c r="S483" s="10">
        <v>320</v>
      </c>
      <c r="T483" s="10">
        <v>295</v>
      </c>
      <c r="U483" s="10" t="s">
        <v>1517</v>
      </c>
    </row>
    <row r="484" spans="1:21" ht="15" x14ac:dyDescent="0.35">
      <c r="A484" s="10">
        <v>615</v>
      </c>
      <c r="C484" s="10" t="s">
        <v>1206</v>
      </c>
      <c r="D484" s="10" t="s">
        <v>1139</v>
      </c>
      <c r="E484" s="10" t="s">
        <v>1196</v>
      </c>
      <c r="J484" s="10" t="s">
        <v>1190</v>
      </c>
      <c r="K484" s="10">
        <v>1140</v>
      </c>
      <c r="L484" s="10">
        <v>690</v>
      </c>
      <c r="M484" s="10">
        <v>920</v>
      </c>
      <c r="N484" s="10">
        <v>0.72</v>
      </c>
      <c r="O484" s="10">
        <v>5.57</v>
      </c>
      <c r="P484" s="10">
        <v>1</v>
      </c>
      <c r="S484" s="10">
        <v>352</v>
      </c>
      <c r="T484" s="10">
        <v>332</v>
      </c>
      <c r="U484" s="10" t="s">
        <v>1517</v>
      </c>
    </row>
    <row r="485" spans="1:21" ht="15" x14ac:dyDescent="0.35">
      <c r="A485" s="10">
        <v>616</v>
      </c>
      <c r="C485" s="10" t="s">
        <v>1207</v>
      </c>
      <c r="D485" s="10" t="s">
        <v>1139</v>
      </c>
      <c r="E485" s="10" t="s">
        <v>1196</v>
      </c>
      <c r="J485" s="10" t="s">
        <v>1190</v>
      </c>
      <c r="K485" s="10">
        <v>1140</v>
      </c>
      <c r="L485" s="10">
        <v>690</v>
      </c>
      <c r="M485" s="10">
        <v>920</v>
      </c>
      <c r="N485" s="10">
        <v>0.72</v>
      </c>
      <c r="O485" s="10">
        <v>5.57</v>
      </c>
      <c r="P485" s="10">
        <v>1</v>
      </c>
      <c r="S485" s="10">
        <v>420</v>
      </c>
      <c r="T485" s="10">
        <v>400</v>
      </c>
      <c r="U485" s="10" t="s">
        <v>1517</v>
      </c>
    </row>
    <row r="486" spans="1:21" ht="15" x14ac:dyDescent="0.35">
      <c r="A486" s="10">
        <v>617</v>
      </c>
      <c r="C486" s="10" t="s">
        <v>1208</v>
      </c>
      <c r="D486" s="10" t="s">
        <v>1139</v>
      </c>
      <c r="E486" s="10" t="s">
        <v>1198</v>
      </c>
      <c r="J486" s="10" t="s">
        <v>1190</v>
      </c>
      <c r="K486" s="10">
        <v>1140</v>
      </c>
      <c r="L486" s="10">
        <v>690</v>
      </c>
      <c r="M486" s="10">
        <v>920</v>
      </c>
      <c r="N486" s="10">
        <v>0.72</v>
      </c>
      <c r="O486" s="10">
        <v>5.57</v>
      </c>
      <c r="P486" s="10">
        <v>1</v>
      </c>
      <c r="S486" s="10">
        <v>321</v>
      </c>
      <c r="T486" s="10">
        <v>295</v>
      </c>
      <c r="U486" s="10" t="s">
        <v>1517</v>
      </c>
    </row>
    <row r="487" spans="1:21" ht="15" x14ac:dyDescent="0.35">
      <c r="A487" s="10">
        <v>618</v>
      </c>
      <c r="C487" s="10" t="s">
        <v>1209</v>
      </c>
      <c r="D487" s="10" t="s">
        <v>1139</v>
      </c>
      <c r="E487" s="10" t="s">
        <v>1198</v>
      </c>
      <c r="J487" s="10" t="s">
        <v>1190</v>
      </c>
      <c r="K487" s="10">
        <v>1140</v>
      </c>
      <c r="L487" s="10">
        <v>690</v>
      </c>
      <c r="M487" s="10">
        <v>920</v>
      </c>
      <c r="N487" s="10">
        <v>0.72</v>
      </c>
      <c r="O487" s="10">
        <v>5.57</v>
      </c>
      <c r="P487" s="10">
        <v>1</v>
      </c>
      <c r="S487" s="10">
        <v>358</v>
      </c>
      <c r="T487" s="10">
        <v>332</v>
      </c>
      <c r="U487" s="10" t="s">
        <v>1517</v>
      </c>
    </row>
    <row r="488" spans="1:21" ht="15" x14ac:dyDescent="0.35">
      <c r="A488" s="10">
        <v>619</v>
      </c>
      <c r="C488" s="10" t="s">
        <v>1210</v>
      </c>
      <c r="D488" s="10" t="s">
        <v>1139</v>
      </c>
      <c r="E488" s="10" t="s">
        <v>1198</v>
      </c>
      <c r="J488" s="10" t="s">
        <v>1190</v>
      </c>
      <c r="K488" s="10">
        <v>1140</v>
      </c>
      <c r="L488" s="10">
        <v>690</v>
      </c>
      <c r="M488" s="10">
        <v>920</v>
      </c>
      <c r="N488" s="10">
        <v>0.72</v>
      </c>
      <c r="O488" s="10">
        <v>5.57</v>
      </c>
      <c r="P488" s="10">
        <v>1</v>
      </c>
      <c r="S488" s="10">
        <v>426</v>
      </c>
      <c r="T488" s="10">
        <v>400</v>
      </c>
      <c r="U488" s="10" t="s">
        <v>1517</v>
      </c>
    </row>
    <row r="489" spans="1:21" ht="15" x14ac:dyDescent="0.35">
      <c r="A489" s="10">
        <v>583</v>
      </c>
      <c r="C489" s="10" t="s">
        <v>1211</v>
      </c>
      <c r="D489" s="10" t="s">
        <v>1212</v>
      </c>
      <c r="E489" s="10" t="s">
        <v>1213</v>
      </c>
      <c r="J489" s="10" t="s">
        <v>1214</v>
      </c>
      <c r="K489" s="10">
        <v>1140</v>
      </c>
      <c r="L489" s="10">
        <v>890</v>
      </c>
      <c r="M489" s="10">
        <v>840</v>
      </c>
      <c r="N489" s="10">
        <v>0.85</v>
      </c>
      <c r="O489" s="10">
        <v>5.83</v>
      </c>
      <c r="P489" s="10">
        <v>2</v>
      </c>
      <c r="S489" s="10">
        <v>349</v>
      </c>
      <c r="T489" s="10">
        <v>320</v>
      </c>
      <c r="U489" s="10" t="s">
        <v>1517</v>
      </c>
    </row>
    <row r="490" spans="1:21" ht="15" x14ac:dyDescent="0.35">
      <c r="A490" s="10">
        <v>521</v>
      </c>
      <c r="C490" s="10" t="s">
        <v>1215</v>
      </c>
      <c r="D490" s="10" t="s">
        <v>1105</v>
      </c>
      <c r="E490" s="10" t="s">
        <v>1215</v>
      </c>
      <c r="J490" s="10" t="s">
        <v>1216</v>
      </c>
      <c r="K490" s="10">
        <v>1160</v>
      </c>
      <c r="L490" s="10">
        <v>686</v>
      </c>
      <c r="M490" s="10">
        <v>650</v>
      </c>
      <c r="N490" s="10">
        <v>0.52</v>
      </c>
      <c r="O490" s="10">
        <v>41</v>
      </c>
      <c r="P490" s="10">
        <v>2</v>
      </c>
      <c r="S490" s="10">
        <f>73*2+O490</f>
        <v>187</v>
      </c>
      <c r="T490" s="10">
        <v>73</v>
      </c>
      <c r="U490" s="10" t="s">
        <v>1516</v>
      </c>
    </row>
    <row r="491" spans="1:21" ht="15" x14ac:dyDescent="0.35">
      <c r="A491" s="10">
        <v>591</v>
      </c>
      <c r="C491" s="10" t="s">
        <v>1152</v>
      </c>
      <c r="D491" s="10" t="s">
        <v>1139</v>
      </c>
      <c r="E491" s="10" t="s">
        <v>1142</v>
      </c>
      <c r="J491" s="10" t="s">
        <v>1217</v>
      </c>
      <c r="K491" s="10">
        <v>1160</v>
      </c>
      <c r="L491" s="10">
        <v>710</v>
      </c>
      <c r="M491" s="10">
        <v>880</v>
      </c>
      <c r="N491" s="10">
        <v>0.72499999999999998</v>
      </c>
      <c r="O491" s="10">
        <v>81.5</v>
      </c>
      <c r="P491" s="10">
        <v>2</v>
      </c>
      <c r="S491" s="10">
        <v>848</v>
      </c>
      <c r="T491" s="10">
        <v>383</v>
      </c>
      <c r="U491" s="10" t="s">
        <v>1515</v>
      </c>
    </row>
    <row r="492" spans="1:21" ht="15" x14ac:dyDescent="0.35">
      <c r="A492" s="10">
        <v>592</v>
      </c>
      <c r="C492" s="10" t="s">
        <v>1201</v>
      </c>
      <c r="D492" s="10" t="s">
        <v>1139</v>
      </c>
      <c r="E492" s="10" t="s">
        <v>1189</v>
      </c>
      <c r="J492" s="10" t="s">
        <v>1217</v>
      </c>
      <c r="K492" s="10">
        <v>1160</v>
      </c>
      <c r="L492" s="10">
        <v>710</v>
      </c>
      <c r="M492" s="10">
        <v>880</v>
      </c>
      <c r="N492" s="10">
        <v>0.72</v>
      </c>
      <c r="O492" s="10">
        <v>53</v>
      </c>
      <c r="P492" s="10">
        <v>1</v>
      </c>
      <c r="S492" s="10">
        <v>453</v>
      </c>
      <c r="T492" s="10">
        <v>400</v>
      </c>
      <c r="U492" s="10" t="s">
        <v>1516</v>
      </c>
    </row>
    <row r="493" spans="1:21" ht="15" x14ac:dyDescent="0.35">
      <c r="A493" s="10">
        <v>593</v>
      </c>
      <c r="C493" s="10" t="s">
        <v>1205</v>
      </c>
      <c r="D493" s="10" t="s">
        <v>1139</v>
      </c>
      <c r="E493" s="10" t="s">
        <v>1196</v>
      </c>
      <c r="J493" s="10" t="s">
        <v>1217</v>
      </c>
      <c r="K493" s="10">
        <v>1160</v>
      </c>
      <c r="L493" s="10">
        <v>710</v>
      </c>
      <c r="M493" s="10">
        <v>880</v>
      </c>
      <c r="N493" s="10">
        <v>0.72</v>
      </c>
      <c r="O493" s="10">
        <v>53</v>
      </c>
      <c r="P493" s="10">
        <v>1</v>
      </c>
      <c r="S493" s="10">
        <v>348</v>
      </c>
      <c r="T493" s="10">
        <v>295</v>
      </c>
      <c r="U493" s="10" t="s">
        <v>1516</v>
      </c>
    </row>
    <row r="494" spans="1:21" ht="15" x14ac:dyDescent="0.35">
      <c r="A494" s="10">
        <v>594</v>
      </c>
      <c r="C494" s="10" t="s">
        <v>1141</v>
      </c>
      <c r="D494" s="10" t="s">
        <v>1139</v>
      </c>
      <c r="E494" s="10" t="s">
        <v>1142</v>
      </c>
      <c r="J494" s="10" t="s">
        <v>1217</v>
      </c>
      <c r="K494" s="10">
        <v>1160</v>
      </c>
      <c r="L494" s="10">
        <v>710</v>
      </c>
      <c r="M494" s="10">
        <v>880</v>
      </c>
      <c r="N494" s="10">
        <v>0.72</v>
      </c>
      <c r="O494" s="10">
        <v>53</v>
      </c>
      <c r="P494" s="10">
        <v>1</v>
      </c>
      <c r="S494" s="10">
        <v>315</v>
      </c>
      <c r="T494" s="10">
        <v>262</v>
      </c>
      <c r="U494" s="10" t="s">
        <v>1516</v>
      </c>
    </row>
    <row r="495" spans="1:21" ht="15" x14ac:dyDescent="0.35">
      <c r="A495" s="10">
        <v>595</v>
      </c>
      <c r="C495" s="10" t="s">
        <v>1218</v>
      </c>
      <c r="D495" s="10" t="s">
        <v>1139</v>
      </c>
      <c r="E495" s="10" t="s">
        <v>1142</v>
      </c>
      <c r="J495" s="10" t="s">
        <v>1217</v>
      </c>
      <c r="K495" s="10">
        <v>1160</v>
      </c>
      <c r="L495" s="10">
        <v>710</v>
      </c>
      <c r="M495" s="10">
        <v>880</v>
      </c>
      <c r="N495" s="10">
        <v>0.72</v>
      </c>
      <c r="O495" s="10">
        <v>53</v>
      </c>
      <c r="P495" s="10">
        <v>1</v>
      </c>
      <c r="S495" s="10">
        <v>348</v>
      </c>
      <c r="T495" s="10">
        <v>295</v>
      </c>
      <c r="U495" s="10" t="s">
        <v>1516</v>
      </c>
    </row>
    <row r="496" spans="1:21" ht="15" x14ac:dyDescent="0.35">
      <c r="A496" s="10">
        <v>596</v>
      </c>
      <c r="C496" s="10" t="s">
        <v>1147</v>
      </c>
      <c r="D496" s="10" t="s">
        <v>1139</v>
      </c>
      <c r="E496" s="10" t="s">
        <v>1142</v>
      </c>
      <c r="J496" s="10" t="s">
        <v>1217</v>
      </c>
      <c r="K496" s="10">
        <v>1160</v>
      </c>
      <c r="L496" s="10">
        <v>710</v>
      </c>
      <c r="M496" s="10">
        <v>880</v>
      </c>
      <c r="N496" s="10">
        <v>0.72</v>
      </c>
      <c r="O496" s="10">
        <v>53</v>
      </c>
      <c r="P496" s="10">
        <v>1</v>
      </c>
      <c r="S496" s="10">
        <v>348</v>
      </c>
      <c r="T496" s="10">
        <v>295</v>
      </c>
      <c r="U496" s="10" t="s">
        <v>1516</v>
      </c>
    </row>
    <row r="497" spans="1:21" ht="15" x14ac:dyDescent="0.35">
      <c r="A497" s="10">
        <v>597</v>
      </c>
      <c r="C497" s="10" t="s">
        <v>1219</v>
      </c>
      <c r="D497" s="10" t="s">
        <v>1139</v>
      </c>
      <c r="E497" s="10" t="s">
        <v>1142</v>
      </c>
      <c r="J497" s="10" t="s">
        <v>1217</v>
      </c>
      <c r="K497" s="10">
        <v>1160</v>
      </c>
      <c r="L497" s="10">
        <v>710</v>
      </c>
      <c r="M497" s="10">
        <v>880</v>
      </c>
      <c r="N497" s="10">
        <v>0.72</v>
      </c>
      <c r="O497" s="10">
        <v>53</v>
      </c>
      <c r="P497" s="10">
        <v>1</v>
      </c>
      <c r="S497" s="10">
        <v>385</v>
      </c>
      <c r="T497" s="10">
        <v>332</v>
      </c>
      <c r="U497" s="10" t="s">
        <v>1516</v>
      </c>
    </row>
    <row r="498" spans="1:21" ht="15" x14ac:dyDescent="0.35">
      <c r="A498" s="10">
        <v>598</v>
      </c>
      <c r="C498" s="10" t="s">
        <v>1220</v>
      </c>
      <c r="D498" s="10" t="s">
        <v>1139</v>
      </c>
      <c r="E498" s="10" t="s">
        <v>1142</v>
      </c>
      <c r="J498" s="10" t="s">
        <v>1217</v>
      </c>
      <c r="K498" s="10">
        <v>1160</v>
      </c>
      <c r="L498" s="10">
        <v>710</v>
      </c>
      <c r="M498" s="10">
        <v>880</v>
      </c>
      <c r="N498" s="10">
        <v>0.72</v>
      </c>
      <c r="O498" s="10">
        <v>53</v>
      </c>
      <c r="P498" s="10">
        <v>1</v>
      </c>
      <c r="S498" s="10">
        <v>421</v>
      </c>
      <c r="T498" s="10">
        <v>368</v>
      </c>
      <c r="U498" s="10" t="s">
        <v>1516</v>
      </c>
    </row>
    <row r="499" spans="1:21" ht="15" x14ac:dyDescent="0.35">
      <c r="A499" s="10">
        <v>599</v>
      </c>
      <c r="C499" s="10" t="s">
        <v>1152</v>
      </c>
      <c r="D499" s="10" t="s">
        <v>1139</v>
      </c>
      <c r="E499" s="10" t="s">
        <v>1142</v>
      </c>
      <c r="J499" s="10" t="s">
        <v>1217</v>
      </c>
      <c r="K499" s="10">
        <v>1160</v>
      </c>
      <c r="L499" s="10">
        <v>710</v>
      </c>
      <c r="M499" s="10">
        <v>880</v>
      </c>
      <c r="N499" s="10">
        <v>0.72</v>
      </c>
      <c r="O499" s="10">
        <v>53</v>
      </c>
      <c r="P499" s="10">
        <v>1</v>
      </c>
      <c r="S499" s="10">
        <v>451</v>
      </c>
      <c r="T499" s="10">
        <v>398</v>
      </c>
      <c r="U499" s="10" t="s">
        <v>1516</v>
      </c>
    </row>
    <row r="500" spans="1:21" ht="15" x14ac:dyDescent="0.35">
      <c r="A500" s="10">
        <v>600</v>
      </c>
      <c r="C500" s="10" t="s">
        <v>1155</v>
      </c>
      <c r="D500" s="10" t="s">
        <v>1139</v>
      </c>
      <c r="E500" s="10" t="s">
        <v>1142</v>
      </c>
      <c r="J500" s="10" t="s">
        <v>1217</v>
      </c>
      <c r="K500" s="10">
        <v>1160</v>
      </c>
      <c r="L500" s="10">
        <v>710</v>
      </c>
      <c r="M500" s="10">
        <v>880</v>
      </c>
      <c r="N500" s="10">
        <v>0.72</v>
      </c>
      <c r="O500" s="10">
        <v>53</v>
      </c>
      <c r="P500" s="10">
        <v>1</v>
      </c>
      <c r="S500" s="10">
        <v>486</v>
      </c>
      <c r="T500" s="10">
        <v>433</v>
      </c>
      <c r="U500" s="10" t="s">
        <v>1516</v>
      </c>
    </row>
    <row r="501" spans="1:21" ht="15" x14ac:dyDescent="0.35">
      <c r="A501" s="10">
        <v>601</v>
      </c>
      <c r="C501" s="10" t="s">
        <v>1221</v>
      </c>
      <c r="D501" s="10" t="s">
        <v>1139</v>
      </c>
      <c r="E501" s="10" t="s">
        <v>1142</v>
      </c>
      <c r="J501" s="10" t="s">
        <v>1217</v>
      </c>
      <c r="K501" s="10">
        <v>1160</v>
      </c>
      <c r="L501" s="10">
        <v>710</v>
      </c>
      <c r="M501" s="10">
        <v>880</v>
      </c>
      <c r="N501" s="10">
        <v>0.72</v>
      </c>
      <c r="O501" s="10">
        <v>53</v>
      </c>
      <c r="P501" s="10">
        <v>1</v>
      </c>
      <c r="S501" s="10">
        <v>315</v>
      </c>
      <c r="T501" s="10">
        <v>262</v>
      </c>
      <c r="U501" s="10" t="s">
        <v>1516</v>
      </c>
    </row>
    <row r="502" spans="1:21" ht="15" x14ac:dyDescent="0.35">
      <c r="A502" s="10">
        <v>623</v>
      </c>
      <c r="C502" s="10" t="s">
        <v>1220</v>
      </c>
      <c r="D502" s="10" t="s">
        <v>1139</v>
      </c>
      <c r="E502" s="10" t="s">
        <v>1142</v>
      </c>
      <c r="J502" s="10" t="s">
        <v>1217</v>
      </c>
      <c r="K502" s="10">
        <v>1160</v>
      </c>
      <c r="L502" s="10">
        <v>710</v>
      </c>
      <c r="M502" s="10">
        <v>880</v>
      </c>
      <c r="N502" s="10">
        <v>0.72</v>
      </c>
      <c r="O502" s="10">
        <v>5.57</v>
      </c>
      <c r="P502" s="10">
        <v>1</v>
      </c>
      <c r="S502" s="10">
        <v>440</v>
      </c>
      <c r="T502" s="10">
        <v>368</v>
      </c>
      <c r="U502" s="10" t="s">
        <v>1517</v>
      </c>
    </row>
    <row r="503" spans="1:21" ht="15" x14ac:dyDescent="0.35">
      <c r="A503" s="10">
        <v>590</v>
      </c>
      <c r="C503" s="10" t="s">
        <v>1222</v>
      </c>
      <c r="D503" s="10" t="s">
        <v>1139</v>
      </c>
      <c r="E503" s="10" t="s">
        <v>1140</v>
      </c>
      <c r="J503" s="10" t="s">
        <v>1223</v>
      </c>
      <c r="K503" s="10">
        <v>1180</v>
      </c>
      <c r="L503" s="10">
        <v>800</v>
      </c>
      <c r="M503" s="10">
        <v>990</v>
      </c>
      <c r="N503" s="10">
        <v>0.93500000000000005</v>
      </c>
      <c r="O503" s="10">
        <v>43.5</v>
      </c>
      <c r="P503" s="10">
        <v>1</v>
      </c>
      <c r="S503" s="10">
        <v>621</v>
      </c>
      <c r="T503" s="10">
        <v>539</v>
      </c>
      <c r="U503" s="10" t="s">
        <v>1515</v>
      </c>
    </row>
    <row r="504" spans="1:21" ht="15" x14ac:dyDescent="0.35">
      <c r="A504" s="10">
        <v>643</v>
      </c>
      <c r="C504" s="10" t="s">
        <v>1224</v>
      </c>
      <c r="D504" s="10" t="s">
        <v>1225</v>
      </c>
      <c r="E504" s="10" t="s">
        <v>1226</v>
      </c>
      <c r="J504" s="10" t="s">
        <v>1227</v>
      </c>
      <c r="K504" s="10">
        <v>1200</v>
      </c>
      <c r="L504" s="10">
        <v>800</v>
      </c>
      <c r="M504" s="10">
        <v>921</v>
      </c>
      <c r="N504" s="10">
        <v>0.88</v>
      </c>
      <c r="O504" s="10">
        <v>22</v>
      </c>
      <c r="P504" s="10">
        <v>1</v>
      </c>
      <c r="S504" s="10">
        <v>910</v>
      </c>
      <c r="T504" s="10">
        <v>888</v>
      </c>
      <c r="U504" s="10" t="s">
        <v>1518</v>
      </c>
    </row>
    <row r="505" spans="1:21" ht="15" x14ac:dyDescent="0.35">
      <c r="A505" s="10">
        <v>644</v>
      </c>
      <c r="C505" s="10" t="s">
        <v>1224</v>
      </c>
      <c r="D505" s="10" t="s">
        <v>1225</v>
      </c>
      <c r="E505" s="10" t="s">
        <v>1226</v>
      </c>
      <c r="J505" s="10" t="s">
        <v>1227</v>
      </c>
      <c r="K505" s="10">
        <v>1200</v>
      </c>
      <c r="L505" s="10">
        <v>800</v>
      </c>
      <c r="M505" s="10">
        <v>921</v>
      </c>
      <c r="N505" s="10">
        <v>0.88</v>
      </c>
      <c r="O505" s="10">
        <v>22</v>
      </c>
      <c r="P505" s="10">
        <v>1</v>
      </c>
      <c r="S505" s="10">
        <v>910</v>
      </c>
      <c r="T505" s="10">
        <v>888</v>
      </c>
      <c r="U505" s="10" t="s">
        <v>1518</v>
      </c>
    </row>
    <row r="506" spans="1:21" ht="15" x14ac:dyDescent="0.35">
      <c r="A506" s="10">
        <v>646</v>
      </c>
      <c r="C506" s="10" t="s">
        <v>1228</v>
      </c>
      <c r="D506" s="10" t="s">
        <v>1225</v>
      </c>
      <c r="E506" s="10" t="s">
        <v>1229</v>
      </c>
      <c r="J506" s="10" t="s">
        <v>1227</v>
      </c>
      <c r="K506" s="10">
        <v>1200</v>
      </c>
      <c r="L506" s="10">
        <v>800</v>
      </c>
      <c r="M506" s="10">
        <v>921</v>
      </c>
      <c r="N506" s="10">
        <v>0.88</v>
      </c>
      <c r="O506" s="10">
        <v>21</v>
      </c>
      <c r="P506" s="10">
        <v>1</v>
      </c>
      <c r="S506" s="10">
        <v>703</v>
      </c>
      <c r="T506" s="10">
        <v>682</v>
      </c>
      <c r="U506" s="10" t="s">
        <v>1518</v>
      </c>
    </row>
    <row r="507" spans="1:21" ht="15" x14ac:dyDescent="0.35">
      <c r="A507" s="10">
        <v>648</v>
      </c>
      <c r="C507" s="10" t="s">
        <v>1230</v>
      </c>
      <c r="D507" s="10" t="s">
        <v>1225</v>
      </c>
      <c r="E507" s="10" t="s">
        <v>1229</v>
      </c>
      <c r="J507" s="10" t="s">
        <v>1227</v>
      </c>
      <c r="K507" s="10">
        <v>1200</v>
      </c>
      <c r="L507" s="10">
        <v>800</v>
      </c>
      <c r="M507" s="10">
        <v>921</v>
      </c>
      <c r="N507" s="10">
        <v>0.88</v>
      </c>
      <c r="O507" s="10">
        <v>21</v>
      </c>
      <c r="P507" s="10">
        <v>1</v>
      </c>
      <c r="S507" s="10">
        <v>775</v>
      </c>
      <c r="T507" s="10">
        <v>754</v>
      </c>
      <c r="U507" s="10" t="s">
        <v>1518</v>
      </c>
    </row>
    <row r="508" spans="1:21" ht="15" x14ac:dyDescent="0.35">
      <c r="A508" s="10">
        <v>656</v>
      </c>
      <c r="C508" s="10" t="s">
        <v>1231</v>
      </c>
      <c r="D508" s="10" t="s">
        <v>1225</v>
      </c>
      <c r="E508" s="10" t="s">
        <v>1232</v>
      </c>
      <c r="J508" s="10" t="s">
        <v>1233</v>
      </c>
      <c r="K508" s="10">
        <v>1250</v>
      </c>
      <c r="L508" s="10">
        <v>800</v>
      </c>
      <c r="M508" s="10">
        <v>1015</v>
      </c>
      <c r="N508" s="10">
        <v>1.01</v>
      </c>
      <c r="O508" s="10">
        <v>24</v>
      </c>
      <c r="P508" s="10">
        <v>1</v>
      </c>
      <c r="S508" s="10">
        <v>703</v>
      </c>
      <c r="T508" s="10">
        <v>679</v>
      </c>
      <c r="U508" s="10" t="s">
        <v>1518</v>
      </c>
    </row>
    <row r="509" spans="1:21" ht="15" x14ac:dyDescent="0.35">
      <c r="A509" s="10">
        <v>628</v>
      </c>
      <c r="C509" s="10" t="s">
        <v>1234</v>
      </c>
      <c r="D509" s="10" t="s">
        <v>1235</v>
      </c>
      <c r="E509" s="10" t="s">
        <v>1236</v>
      </c>
      <c r="J509" s="10" t="s">
        <v>1237</v>
      </c>
      <c r="K509" s="10">
        <v>1250</v>
      </c>
      <c r="L509" s="10">
        <v>800</v>
      </c>
      <c r="M509" s="10">
        <v>1210</v>
      </c>
      <c r="N509" s="10">
        <v>1.21</v>
      </c>
      <c r="O509" s="10">
        <v>30</v>
      </c>
      <c r="P509" s="10">
        <v>1</v>
      </c>
      <c r="S509" s="10">
        <v>655</v>
      </c>
      <c r="T509" s="10">
        <v>625</v>
      </c>
      <c r="U509" s="10" t="s">
        <v>1518</v>
      </c>
    </row>
    <row r="510" spans="1:21" ht="15" x14ac:dyDescent="0.35">
      <c r="A510" s="10">
        <v>629</v>
      </c>
      <c r="C510" s="10" t="s">
        <v>1238</v>
      </c>
      <c r="D510" s="10" t="s">
        <v>1235</v>
      </c>
      <c r="E510" s="10" t="s">
        <v>1236</v>
      </c>
      <c r="J510" s="10" t="s">
        <v>1237</v>
      </c>
      <c r="K510" s="10">
        <v>1250</v>
      </c>
      <c r="L510" s="10">
        <v>800</v>
      </c>
      <c r="M510" s="10">
        <v>1210</v>
      </c>
      <c r="N510" s="10">
        <v>1.21</v>
      </c>
      <c r="O510" s="10">
        <v>20</v>
      </c>
      <c r="P510" s="10">
        <v>1</v>
      </c>
      <c r="S510" s="10">
        <v>740</v>
      </c>
      <c r="T510" s="10">
        <v>720</v>
      </c>
      <c r="U510" s="10" t="s">
        <v>1518</v>
      </c>
    </row>
    <row r="511" spans="1:21" ht="15" x14ac:dyDescent="0.35">
      <c r="A511" s="10">
        <v>630</v>
      </c>
      <c r="C511" s="10" t="s">
        <v>1239</v>
      </c>
      <c r="D511" s="10" t="s">
        <v>1235</v>
      </c>
      <c r="E511" s="10" t="s">
        <v>1236</v>
      </c>
      <c r="J511" s="10" t="s">
        <v>1237</v>
      </c>
      <c r="K511" s="10">
        <v>1250</v>
      </c>
      <c r="L511" s="10">
        <v>800</v>
      </c>
      <c r="M511" s="10">
        <v>1210</v>
      </c>
      <c r="N511" s="10">
        <v>1.21</v>
      </c>
      <c r="O511" s="10">
        <v>30</v>
      </c>
      <c r="P511" s="10">
        <v>1</v>
      </c>
      <c r="S511" s="10">
        <v>760</v>
      </c>
      <c r="T511" s="10">
        <v>730</v>
      </c>
      <c r="U511" s="10" t="s">
        <v>1518</v>
      </c>
    </row>
    <row r="512" spans="1:21" ht="15" x14ac:dyDescent="0.35">
      <c r="A512" s="10">
        <v>631</v>
      </c>
      <c r="C512" s="10" t="s">
        <v>1240</v>
      </c>
      <c r="D512" s="10" t="s">
        <v>1235</v>
      </c>
      <c r="E512" s="10" t="s">
        <v>1236</v>
      </c>
      <c r="J512" s="10" t="s">
        <v>1237</v>
      </c>
      <c r="K512" s="10">
        <v>1250</v>
      </c>
      <c r="L512" s="10">
        <v>800</v>
      </c>
      <c r="M512" s="10">
        <v>1210</v>
      </c>
      <c r="N512" s="10">
        <v>1.21</v>
      </c>
      <c r="O512" s="10">
        <v>27</v>
      </c>
      <c r="P512" s="10">
        <v>1</v>
      </c>
      <c r="S512" s="10">
        <v>922</v>
      </c>
      <c r="T512" s="10">
        <v>895</v>
      </c>
      <c r="U512" s="10" t="s">
        <v>1518</v>
      </c>
    </row>
    <row r="513" spans="1:21" ht="15" x14ac:dyDescent="0.35">
      <c r="A513" s="10">
        <v>632</v>
      </c>
      <c r="C513" s="10" t="s">
        <v>1241</v>
      </c>
      <c r="D513" s="10" t="s">
        <v>1235</v>
      </c>
      <c r="E513" s="10" t="s">
        <v>1229</v>
      </c>
      <c r="J513" s="10" t="s">
        <v>1237</v>
      </c>
      <c r="K513" s="10">
        <v>1250</v>
      </c>
      <c r="L513" s="10">
        <v>800</v>
      </c>
      <c r="M513" s="10">
        <v>1210</v>
      </c>
      <c r="N513" s="10">
        <v>1.21</v>
      </c>
      <c r="O513" s="10">
        <v>52</v>
      </c>
      <c r="P513" s="10">
        <v>1</v>
      </c>
      <c r="S513" s="10">
        <v>623</v>
      </c>
      <c r="T513" s="10">
        <v>571</v>
      </c>
      <c r="U513" s="10" t="s">
        <v>1518</v>
      </c>
    </row>
    <row r="514" spans="1:21" ht="15" x14ac:dyDescent="0.35">
      <c r="A514" s="10">
        <v>633</v>
      </c>
      <c r="C514" s="10" t="s">
        <v>1242</v>
      </c>
      <c r="D514" s="10" t="s">
        <v>1235</v>
      </c>
      <c r="E514" s="10" t="s">
        <v>1229</v>
      </c>
      <c r="J514" s="10" t="s">
        <v>1237</v>
      </c>
      <c r="K514" s="10">
        <v>1250</v>
      </c>
      <c r="L514" s="10">
        <v>800</v>
      </c>
      <c r="M514" s="10">
        <v>1210</v>
      </c>
      <c r="N514" s="10">
        <v>1.21</v>
      </c>
      <c r="O514" s="10">
        <v>30</v>
      </c>
      <c r="P514" s="10">
        <v>1</v>
      </c>
      <c r="S514" s="10">
        <v>629</v>
      </c>
      <c r="T514" s="10">
        <v>599</v>
      </c>
      <c r="U514" s="10" t="s">
        <v>1518</v>
      </c>
    </row>
    <row r="515" spans="1:21" ht="15" x14ac:dyDescent="0.35">
      <c r="A515" s="10">
        <v>634</v>
      </c>
      <c r="C515" s="10" t="s">
        <v>1243</v>
      </c>
      <c r="D515" s="10" t="s">
        <v>1235</v>
      </c>
      <c r="E515" s="10" t="s">
        <v>1244</v>
      </c>
      <c r="J515" s="10" t="s">
        <v>1237</v>
      </c>
      <c r="K515" s="10">
        <v>1250</v>
      </c>
      <c r="L515" s="10">
        <v>800</v>
      </c>
      <c r="M515" s="10">
        <v>1210</v>
      </c>
      <c r="N515" s="10">
        <v>1.21</v>
      </c>
      <c r="O515" s="10">
        <v>30</v>
      </c>
      <c r="P515" s="10">
        <v>1</v>
      </c>
      <c r="S515" s="10">
        <v>620</v>
      </c>
      <c r="T515" s="10">
        <v>590</v>
      </c>
      <c r="U515" s="10" t="s">
        <v>1518</v>
      </c>
    </row>
    <row r="516" spans="1:21" ht="15" x14ac:dyDescent="0.35">
      <c r="A516" s="10">
        <v>635</v>
      </c>
      <c r="C516" s="10" t="s">
        <v>1245</v>
      </c>
      <c r="D516" s="10" t="s">
        <v>1235</v>
      </c>
      <c r="E516" s="10" t="s">
        <v>1244</v>
      </c>
      <c r="J516" s="10" t="s">
        <v>1237</v>
      </c>
      <c r="K516" s="10">
        <v>1250</v>
      </c>
      <c r="L516" s="10">
        <v>800</v>
      </c>
      <c r="M516" s="10">
        <v>1210</v>
      </c>
      <c r="N516" s="10">
        <v>1.21</v>
      </c>
      <c r="O516" s="10">
        <v>30</v>
      </c>
      <c r="P516" s="10">
        <v>1</v>
      </c>
      <c r="S516" s="10">
        <v>655</v>
      </c>
      <c r="T516" s="10">
        <v>625</v>
      </c>
      <c r="U516" s="10" t="s">
        <v>1518</v>
      </c>
    </row>
    <row r="517" spans="1:21" ht="15" x14ac:dyDescent="0.35">
      <c r="A517" s="10">
        <v>636</v>
      </c>
      <c r="C517" s="10" t="s">
        <v>1246</v>
      </c>
      <c r="D517" s="10" t="s">
        <v>1235</v>
      </c>
      <c r="E517" s="10" t="s">
        <v>1244</v>
      </c>
      <c r="J517" s="10" t="s">
        <v>1237</v>
      </c>
      <c r="K517" s="10">
        <v>1250</v>
      </c>
      <c r="L517" s="10">
        <v>800</v>
      </c>
      <c r="M517" s="10">
        <v>1210</v>
      </c>
      <c r="N517" s="10">
        <v>1.21</v>
      </c>
      <c r="O517" s="10">
        <v>30</v>
      </c>
      <c r="P517" s="10">
        <v>1</v>
      </c>
      <c r="S517" s="10">
        <v>755</v>
      </c>
      <c r="T517" s="10">
        <v>725</v>
      </c>
      <c r="U517" s="10" t="s">
        <v>1518</v>
      </c>
    </row>
    <row r="518" spans="1:21" ht="15" x14ac:dyDescent="0.35">
      <c r="A518" s="10">
        <v>637</v>
      </c>
      <c r="C518" s="10" t="s">
        <v>1247</v>
      </c>
      <c r="D518" s="10" t="s">
        <v>1235</v>
      </c>
      <c r="E518" s="10" t="s">
        <v>1244</v>
      </c>
      <c r="J518" s="10" t="s">
        <v>1237</v>
      </c>
      <c r="K518" s="10">
        <v>1250</v>
      </c>
      <c r="L518" s="10">
        <v>800</v>
      </c>
      <c r="M518" s="10">
        <v>1210</v>
      </c>
      <c r="N518" s="10">
        <v>1.21</v>
      </c>
      <c r="O518" s="10">
        <v>30</v>
      </c>
      <c r="P518" s="10">
        <v>1</v>
      </c>
      <c r="S518" s="10">
        <v>760</v>
      </c>
      <c r="T518" s="10">
        <v>730</v>
      </c>
      <c r="U518" s="10" t="s">
        <v>1518</v>
      </c>
    </row>
    <row r="519" spans="1:21" ht="15" x14ac:dyDescent="0.35">
      <c r="A519" s="10">
        <v>638</v>
      </c>
      <c r="C519" s="10" t="s">
        <v>1248</v>
      </c>
      <c r="D519" s="10" t="s">
        <v>1235</v>
      </c>
      <c r="E519" s="10" t="s">
        <v>1244</v>
      </c>
      <c r="J519" s="10" t="s">
        <v>1237</v>
      </c>
      <c r="K519" s="10">
        <v>1250</v>
      </c>
      <c r="L519" s="10">
        <v>800</v>
      </c>
      <c r="M519" s="10">
        <v>1210</v>
      </c>
      <c r="N519" s="10">
        <v>1.21</v>
      </c>
      <c r="O519" s="10">
        <v>27</v>
      </c>
      <c r="P519" s="10">
        <v>1</v>
      </c>
      <c r="S519" s="10">
        <v>922</v>
      </c>
      <c r="T519" s="10">
        <v>895</v>
      </c>
      <c r="U519" s="10" t="s">
        <v>1518</v>
      </c>
    </row>
    <row r="520" spans="1:21" ht="15" x14ac:dyDescent="0.35">
      <c r="A520" s="10">
        <v>639</v>
      </c>
      <c r="C520" s="10" t="s">
        <v>1249</v>
      </c>
      <c r="D520" s="10" t="s">
        <v>1235</v>
      </c>
      <c r="E520" s="10" t="s">
        <v>1250</v>
      </c>
      <c r="J520" s="10" t="s">
        <v>1237</v>
      </c>
      <c r="K520" s="10">
        <v>1250</v>
      </c>
      <c r="L520" s="10">
        <v>800</v>
      </c>
      <c r="M520" s="10">
        <v>1210</v>
      </c>
      <c r="N520" s="10">
        <v>1.21</v>
      </c>
      <c r="O520" s="10">
        <v>30</v>
      </c>
      <c r="P520" s="10">
        <v>1</v>
      </c>
      <c r="S520" s="10">
        <v>599</v>
      </c>
      <c r="T520" s="10">
        <v>569</v>
      </c>
      <c r="U520" s="10" t="s">
        <v>1518</v>
      </c>
    </row>
    <row r="521" spans="1:21" ht="15" x14ac:dyDescent="0.35">
      <c r="A521" s="10">
        <v>640</v>
      </c>
      <c r="C521" s="10" t="s">
        <v>1251</v>
      </c>
      <c r="D521" s="10" t="s">
        <v>1235</v>
      </c>
      <c r="E521" s="10" t="s">
        <v>1250</v>
      </c>
      <c r="J521" s="10" t="s">
        <v>1237</v>
      </c>
      <c r="K521" s="10">
        <v>1250</v>
      </c>
      <c r="L521" s="10">
        <v>800</v>
      </c>
      <c r="M521" s="10">
        <v>1210</v>
      </c>
      <c r="N521" s="10">
        <v>1.21</v>
      </c>
      <c r="O521" s="10">
        <v>30</v>
      </c>
      <c r="P521" s="10">
        <v>1</v>
      </c>
      <c r="S521" s="10">
        <v>629</v>
      </c>
      <c r="T521" s="10">
        <v>599</v>
      </c>
      <c r="U521" s="10" t="s">
        <v>1518</v>
      </c>
    </row>
    <row r="522" spans="1:21" ht="15" x14ac:dyDescent="0.35">
      <c r="A522" s="10">
        <v>641</v>
      </c>
      <c r="C522" s="10" t="s">
        <v>1252</v>
      </c>
      <c r="D522" s="10" t="s">
        <v>1235</v>
      </c>
      <c r="E522" s="10" t="s">
        <v>1253</v>
      </c>
      <c r="J522" s="10" t="s">
        <v>1237</v>
      </c>
      <c r="K522" s="10">
        <v>1250</v>
      </c>
      <c r="L522" s="10">
        <v>800</v>
      </c>
      <c r="M522" s="10">
        <v>1210</v>
      </c>
      <c r="N522" s="10">
        <v>1.21</v>
      </c>
      <c r="O522" s="10">
        <v>28</v>
      </c>
      <c r="P522" s="10">
        <v>1</v>
      </c>
      <c r="S522" s="10">
        <v>923</v>
      </c>
      <c r="T522" s="10">
        <v>895</v>
      </c>
      <c r="U522" s="10" t="s">
        <v>1518</v>
      </c>
    </row>
    <row r="523" spans="1:21" ht="15" x14ac:dyDescent="0.35">
      <c r="A523" s="10">
        <v>649</v>
      </c>
      <c r="C523" s="10" t="s">
        <v>1254</v>
      </c>
      <c r="D523" s="10" t="s">
        <v>1225</v>
      </c>
      <c r="E523" s="10" t="s">
        <v>1229</v>
      </c>
      <c r="J523" s="10" t="s">
        <v>1237</v>
      </c>
      <c r="K523" s="10">
        <v>1250</v>
      </c>
      <c r="L523" s="10">
        <v>800</v>
      </c>
      <c r="M523" s="10">
        <v>1210</v>
      </c>
      <c r="N523" s="10">
        <v>1.21</v>
      </c>
      <c r="O523" s="10">
        <v>40</v>
      </c>
      <c r="P523" s="10">
        <v>1</v>
      </c>
      <c r="S523" s="10">
        <v>794</v>
      </c>
      <c r="T523" s="10">
        <v>754</v>
      </c>
      <c r="U523" s="10" t="s">
        <v>1518</v>
      </c>
    </row>
    <row r="524" spans="1:21" ht="15" x14ac:dyDescent="0.35">
      <c r="A524" s="10">
        <v>654</v>
      </c>
      <c r="C524" s="10" t="s">
        <v>1255</v>
      </c>
      <c r="D524" s="10" t="s">
        <v>1225</v>
      </c>
      <c r="E524" s="10" t="s">
        <v>1250</v>
      </c>
      <c r="J524" s="10" t="s">
        <v>1237</v>
      </c>
      <c r="K524" s="10">
        <v>1250</v>
      </c>
      <c r="L524" s="10">
        <v>800</v>
      </c>
      <c r="M524" s="10">
        <v>1210</v>
      </c>
      <c r="N524" s="10">
        <v>1.21</v>
      </c>
      <c r="O524" s="10">
        <v>22</v>
      </c>
      <c r="P524" s="10">
        <v>1</v>
      </c>
      <c r="S524" s="10">
        <v>776</v>
      </c>
      <c r="T524" s="10">
        <v>754</v>
      </c>
      <c r="U524" s="10" t="s">
        <v>1518</v>
      </c>
    </row>
    <row r="525" spans="1:21" ht="15" x14ac:dyDescent="0.35">
      <c r="A525" s="10">
        <v>655</v>
      </c>
      <c r="C525" s="10" t="s">
        <v>1256</v>
      </c>
      <c r="D525" s="10" t="s">
        <v>1225</v>
      </c>
      <c r="E525" s="10" t="s">
        <v>1250</v>
      </c>
      <c r="J525" s="10" t="s">
        <v>1257</v>
      </c>
      <c r="K525" s="10">
        <v>1250</v>
      </c>
      <c r="L525" s="10">
        <v>800</v>
      </c>
      <c r="M525" s="10">
        <v>921</v>
      </c>
      <c r="N525" s="10">
        <v>0.2</v>
      </c>
      <c r="O525" s="10">
        <v>22</v>
      </c>
      <c r="P525" s="10">
        <v>1</v>
      </c>
      <c r="S525" s="10">
        <v>776</v>
      </c>
      <c r="T525" s="10">
        <v>754</v>
      </c>
      <c r="U525" s="10" t="s">
        <v>1518</v>
      </c>
    </row>
    <row r="526" spans="1:21" ht="15" x14ac:dyDescent="0.35">
      <c r="A526" s="10">
        <v>645</v>
      </c>
      <c r="C526" s="10" t="s">
        <v>1228</v>
      </c>
      <c r="D526" s="10" t="s">
        <v>1225</v>
      </c>
      <c r="E526" s="10" t="s">
        <v>1229</v>
      </c>
      <c r="J526" s="10" t="s">
        <v>1257</v>
      </c>
      <c r="K526" s="10">
        <v>1250</v>
      </c>
      <c r="L526" s="10">
        <v>800</v>
      </c>
      <c r="M526" s="10">
        <v>921</v>
      </c>
      <c r="N526" s="10">
        <v>0.92</v>
      </c>
      <c r="O526" s="10">
        <v>21</v>
      </c>
      <c r="P526" s="10">
        <v>1</v>
      </c>
      <c r="S526" s="10">
        <v>703</v>
      </c>
      <c r="T526" s="10">
        <v>682</v>
      </c>
      <c r="U526" s="10" t="s">
        <v>1518</v>
      </c>
    </row>
    <row r="527" spans="1:21" ht="15" x14ac:dyDescent="0.35">
      <c r="A527" s="10">
        <v>652</v>
      </c>
      <c r="C527" s="10" t="s">
        <v>1258</v>
      </c>
      <c r="D527" s="10" t="s">
        <v>1225</v>
      </c>
      <c r="E527" s="10" t="s">
        <v>1250</v>
      </c>
      <c r="J527" s="10" t="s">
        <v>1257</v>
      </c>
      <c r="K527" s="10">
        <v>1250</v>
      </c>
      <c r="L527" s="10">
        <v>800</v>
      </c>
      <c r="M527" s="10">
        <v>921</v>
      </c>
      <c r="N527" s="10">
        <v>0.92100000000000004</v>
      </c>
      <c r="O527" s="10">
        <v>21</v>
      </c>
      <c r="P527" s="10">
        <v>1</v>
      </c>
      <c r="S527" s="10">
        <v>703</v>
      </c>
      <c r="T527" s="10">
        <v>682</v>
      </c>
      <c r="U527" s="10" t="s">
        <v>1518</v>
      </c>
    </row>
    <row r="528" spans="1:21" ht="15" x14ac:dyDescent="0.35">
      <c r="A528" s="10">
        <v>642</v>
      </c>
      <c r="C528" s="10" t="s">
        <v>1224</v>
      </c>
      <c r="D528" s="10" t="s">
        <v>1225</v>
      </c>
      <c r="E528" s="10" t="s">
        <v>1226</v>
      </c>
      <c r="J528" s="10" t="s">
        <v>1259</v>
      </c>
      <c r="K528" s="10">
        <v>1250</v>
      </c>
      <c r="L528" s="10">
        <v>800</v>
      </c>
      <c r="M528" s="10">
        <v>956</v>
      </c>
      <c r="N528" s="10">
        <v>0.96</v>
      </c>
      <c r="O528" s="10">
        <v>22</v>
      </c>
      <c r="P528" s="10">
        <v>1</v>
      </c>
      <c r="S528" s="10">
        <v>910</v>
      </c>
      <c r="T528" s="10">
        <v>888</v>
      </c>
      <c r="U528" s="10" t="s">
        <v>1518</v>
      </c>
    </row>
    <row r="529" spans="1:21" ht="15" x14ac:dyDescent="0.35">
      <c r="A529" s="10">
        <v>647</v>
      </c>
      <c r="C529" s="10" t="s">
        <v>1230</v>
      </c>
      <c r="D529" s="10" t="s">
        <v>1225</v>
      </c>
      <c r="E529" s="10" t="s">
        <v>1229</v>
      </c>
      <c r="J529" s="10" t="s">
        <v>1259</v>
      </c>
      <c r="K529" s="10">
        <v>1250</v>
      </c>
      <c r="L529" s="10">
        <v>800</v>
      </c>
      <c r="M529" s="10">
        <v>956</v>
      </c>
      <c r="N529" s="10">
        <v>0.96</v>
      </c>
      <c r="O529" s="10">
        <v>22</v>
      </c>
      <c r="P529" s="10">
        <v>1</v>
      </c>
      <c r="S529" s="10">
        <v>776</v>
      </c>
      <c r="T529" s="10">
        <v>754</v>
      </c>
      <c r="U529" s="10" t="s">
        <v>1518</v>
      </c>
    </row>
    <row r="530" spans="1:21" ht="15" x14ac:dyDescent="0.35">
      <c r="A530" s="10">
        <v>650</v>
      </c>
      <c r="C530" s="10" t="s">
        <v>1260</v>
      </c>
      <c r="D530" s="10" t="s">
        <v>1225</v>
      </c>
      <c r="E530" s="10" t="s">
        <v>1229</v>
      </c>
      <c r="J530" s="10" t="s">
        <v>1259</v>
      </c>
      <c r="K530" s="10">
        <v>1250</v>
      </c>
      <c r="L530" s="10">
        <v>800</v>
      </c>
      <c r="M530" s="10">
        <v>956</v>
      </c>
      <c r="N530" s="10">
        <v>0.96</v>
      </c>
      <c r="O530" s="10">
        <v>22</v>
      </c>
      <c r="P530" s="10">
        <v>1</v>
      </c>
      <c r="S530" s="10">
        <v>776</v>
      </c>
      <c r="T530" s="10">
        <v>754</v>
      </c>
      <c r="U530" s="10" t="s">
        <v>1518</v>
      </c>
    </row>
    <row r="531" spans="1:21" ht="15" x14ac:dyDescent="0.35">
      <c r="A531" s="10">
        <v>653</v>
      </c>
      <c r="C531" s="10" t="s">
        <v>1261</v>
      </c>
      <c r="D531" s="10" t="s">
        <v>1225</v>
      </c>
      <c r="E531" s="10" t="s">
        <v>1250</v>
      </c>
      <c r="J531" s="10" t="s">
        <v>1259</v>
      </c>
      <c r="K531" s="10">
        <v>1250</v>
      </c>
      <c r="L531" s="10">
        <v>800</v>
      </c>
      <c r="M531" s="10">
        <v>956</v>
      </c>
      <c r="N531" s="10">
        <v>0.96</v>
      </c>
      <c r="O531" s="10">
        <v>22</v>
      </c>
      <c r="P531" s="10">
        <v>1</v>
      </c>
      <c r="S531" s="10">
        <v>776</v>
      </c>
      <c r="T531" s="10">
        <v>754</v>
      </c>
      <c r="U531" s="10" t="s">
        <v>1518</v>
      </c>
    </row>
    <row r="532" spans="1:21" ht="15" x14ac:dyDescent="0.35">
      <c r="A532" s="10">
        <v>657</v>
      </c>
      <c r="C532" s="10" t="s">
        <v>1262</v>
      </c>
      <c r="D532" s="10" t="s">
        <v>1225</v>
      </c>
      <c r="E532" s="10" t="s">
        <v>1232</v>
      </c>
      <c r="J532" s="10" t="s">
        <v>1259</v>
      </c>
      <c r="K532" s="10">
        <v>1250</v>
      </c>
      <c r="L532" s="10">
        <v>800</v>
      </c>
      <c r="M532" s="10">
        <v>956</v>
      </c>
      <c r="N532" s="10">
        <v>0.96</v>
      </c>
      <c r="O532" s="10">
        <v>22</v>
      </c>
      <c r="P532" s="10">
        <v>1</v>
      </c>
      <c r="S532" s="10">
        <v>776</v>
      </c>
      <c r="T532" s="10">
        <v>754</v>
      </c>
      <c r="U532" s="10" t="s">
        <v>1518</v>
      </c>
    </row>
    <row r="533" spans="1:21" ht="15" x14ac:dyDescent="0.35">
      <c r="A533" s="10">
        <v>659</v>
      </c>
      <c r="C533" s="10" t="s">
        <v>1263</v>
      </c>
      <c r="D533" s="10" t="s">
        <v>1225</v>
      </c>
      <c r="E533" s="10" t="s">
        <v>1232</v>
      </c>
      <c r="J533" s="10" t="s">
        <v>1264</v>
      </c>
      <c r="K533" s="10">
        <v>1250</v>
      </c>
      <c r="L533" s="10">
        <v>800</v>
      </c>
      <c r="M533" s="10">
        <v>966</v>
      </c>
      <c r="N533" s="10">
        <v>0.97</v>
      </c>
      <c r="O533" s="10">
        <v>24</v>
      </c>
      <c r="P533" s="10">
        <v>1</v>
      </c>
      <c r="S533" s="10">
        <v>912</v>
      </c>
      <c r="T533" s="10">
        <v>888</v>
      </c>
      <c r="U533" s="10" t="s">
        <v>1518</v>
      </c>
    </row>
    <row r="534" spans="1:21" ht="15" x14ac:dyDescent="0.35">
      <c r="A534" s="10">
        <v>658</v>
      </c>
      <c r="C534" s="10" t="s">
        <v>1265</v>
      </c>
      <c r="D534" s="10" t="s">
        <v>1225</v>
      </c>
      <c r="E534" s="10" t="s">
        <v>1232</v>
      </c>
      <c r="J534" s="10" t="s">
        <v>1266</v>
      </c>
      <c r="K534" s="10">
        <v>1250</v>
      </c>
      <c r="L534" s="10">
        <v>800</v>
      </c>
      <c r="M534" s="10">
        <v>996</v>
      </c>
      <c r="N534" s="10">
        <v>1</v>
      </c>
      <c r="O534" s="10">
        <v>24</v>
      </c>
      <c r="P534" s="10">
        <v>1</v>
      </c>
      <c r="S534" s="10">
        <v>783</v>
      </c>
      <c r="T534" s="10">
        <v>759</v>
      </c>
      <c r="U534" s="10" t="s">
        <v>1518</v>
      </c>
    </row>
    <row r="535" spans="1:21" ht="15" x14ac:dyDescent="0.35">
      <c r="A535" s="10">
        <v>662</v>
      </c>
      <c r="C535" s="10" t="s">
        <v>1267</v>
      </c>
      <c r="D535" s="10" t="s">
        <v>1268</v>
      </c>
      <c r="E535" s="10" t="s">
        <v>1269</v>
      </c>
      <c r="J535" s="10" t="s">
        <v>1270</v>
      </c>
      <c r="K535" s="10">
        <v>1250</v>
      </c>
      <c r="L535" s="10">
        <v>900</v>
      </c>
      <c r="M535" s="10">
        <v>1310</v>
      </c>
      <c r="N535" s="10">
        <v>1.47</v>
      </c>
      <c r="O535" s="10">
        <v>30</v>
      </c>
      <c r="P535" s="10">
        <v>1</v>
      </c>
      <c r="S535" s="10">
        <v>1030</v>
      </c>
      <c r="T535" s="10">
        <v>1000</v>
      </c>
      <c r="U535" s="10" t="s">
        <v>1518</v>
      </c>
    </row>
    <row r="536" spans="1:21" ht="15" x14ac:dyDescent="0.35">
      <c r="A536" s="10">
        <v>663</v>
      </c>
      <c r="C536" s="10" t="s">
        <v>1271</v>
      </c>
      <c r="D536" s="10" t="s">
        <v>1268</v>
      </c>
      <c r="E536" s="10" t="s">
        <v>1272</v>
      </c>
      <c r="J536" s="10" t="s">
        <v>1270</v>
      </c>
      <c r="K536" s="10">
        <v>1250</v>
      </c>
      <c r="L536" s="10">
        <v>900</v>
      </c>
      <c r="M536" s="10">
        <v>1310</v>
      </c>
      <c r="N536" s="10">
        <v>1.47</v>
      </c>
      <c r="O536" s="10">
        <v>30</v>
      </c>
      <c r="P536" s="10">
        <v>1</v>
      </c>
      <c r="S536" s="10">
        <v>1030</v>
      </c>
      <c r="T536" s="10">
        <v>1000</v>
      </c>
      <c r="U536" s="10" t="s">
        <v>1518</v>
      </c>
    </row>
    <row r="537" spans="1:21" ht="15" x14ac:dyDescent="0.35">
      <c r="A537" s="10">
        <v>665</v>
      </c>
      <c r="C537" s="10" t="s">
        <v>1273</v>
      </c>
      <c r="D537" s="10" t="s">
        <v>1268</v>
      </c>
      <c r="E537" s="10" t="s">
        <v>1272</v>
      </c>
      <c r="J537" s="10" t="s">
        <v>1270</v>
      </c>
      <c r="K537" s="10">
        <v>1250</v>
      </c>
      <c r="L537" s="10">
        <v>900</v>
      </c>
      <c r="M537" s="10">
        <v>1310</v>
      </c>
      <c r="N537" s="10">
        <v>1.47</v>
      </c>
      <c r="O537" s="10">
        <v>30</v>
      </c>
      <c r="P537" s="10">
        <v>1</v>
      </c>
      <c r="S537" s="10">
        <v>1060</v>
      </c>
      <c r="T537" s="10">
        <v>1030</v>
      </c>
      <c r="U537" s="10" t="s">
        <v>1518</v>
      </c>
    </row>
    <row r="538" spans="1:21" ht="15" x14ac:dyDescent="0.35">
      <c r="A538" s="10">
        <v>666</v>
      </c>
      <c r="C538" s="10" t="s">
        <v>1274</v>
      </c>
      <c r="D538" s="10" t="s">
        <v>1268</v>
      </c>
      <c r="E538" s="10" t="s">
        <v>1272</v>
      </c>
      <c r="J538" s="10" t="s">
        <v>1270</v>
      </c>
      <c r="K538" s="10">
        <v>1250</v>
      </c>
      <c r="L538" s="10">
        <v>900</v>
      </c>
      <c r="M538" s="10">
        <v>1310</v>
      </c>
      <c r="N538" s="10">
        <v>1.47</v>
      </c>
      <c r="O538" s="10">
        <v>30</v>
      </c>
      <c r="P538" s="10">
        <v>1</v>
      </c>
      <c r="S538" s="10">
        <v>1150</v>
      </c>
      <c r="T538" s="10">
        <v>1120</v>
      </c>
      <c r="U538" s="10" t="s">
        <v>1518</v>
      </c>
    </row>
    <row r="539" spans="1:21" ht="15" x14ac:dyDescent="0.35">
      <c r="A539" s="10">
        <v>667</v>
      </c>
      <c r="C539" s="10" t="s">
        <v>1275</v>
      </c>
      <c r="D539" s="10" t="s">
        <v>1268</v>
      </c>
      <c r="E539" s="10" t="s">
        <v>1272</v>
      </c>
      <c r="J539" s="10" t="s">
        <v>1270</v>
      </c>
      <c r="K539" s="10">
        <v>1250</v>
      </c>
      <c r="L539" s="10">
        <v>900</v>
      </c>
      <c r="M539" s="10">
        <v>1310</v>
      </c>
      <c r="N539" s="10">
        <v>1.47</v>
      </c>
      <c r="O539" s="10">
        <v>30</v>
      </c>
      <c r="P539" s="10">
        <v>1</v>
      </c>
      <c r="S539" s="10">
        <v>1270</v>
      </c>
      <c r="T539" s="10">
        <v>1240</v>
      </c>
      <c r="U539" s="10" t="s">
        <v>1518</v>
      </c>
    </row>
    <row r="540" spans="1:21" ht="15" x14ac:dyDescent="0.35">
      <c r="A540" s="10">
        <v>669</v>
      </c>
      <c r="C540" s="10" t="s">
        <v>1276</v>
      </c>
      <c r="D540" s="10" t="s">
        <v>1268</v>
      </c>
      <c r="E540" s="10" t="s">
        <v>1272</v>
      </c>
      <c r="J540" s="10" t="s">
        <v>1270</v>
      </c>
      <c r="K540" s="10">
        <v>1250</v>
      </c>
      <c r="L540" s="10">
        <v>900</v>
      </c>
      <c r="M540" s="10">
        <v>1310</v>
      </c>
      <c r="N540" s="10">
        <v>1.47</v>
      </c>
      <c r="O540" s="10">
        <v>30</v>
      </c>
      <c r="P540" s="10">
        <v>1</v>
      </c>
      <c r="S540" s="10">
        <v>1319</v>
      </c>
      <c r="T540" s="10">
        <v>1289</v>
      </c>
      <c r="U540" s="10" t="s">
        <v>1518</v>
      </c>
    </row>
    <row r="541" spans="1:21" ht="15" x14ac:dyDescent="0.35">
      <c r="A541" s="10">
        <v>671</v>
      </c>
      <c r="C541" s="10" t="s">
        <v>1277</v>
      </c>
      <c r="D541" s="10" t="s">
        <v>1268</v>
      </c>
      <c r="E541" s="10" t="s">
        <v>1272</v>
      </c>
      <c r="J541" s="10" t="s">
        <v>1270</v>
      </c>
      <c r="K541" s="10">
        <v>1250</v>
      </c>
      <c r="L541" s="10">
        <v>900</v>
      </c>
      <c r="M541" s="10">
        <v>1310</v>
      </c>
      <c r="N541" s="10">
        <v>1.47</v>
      </c>
      <c r="O541" s="10">
        <v>30</v>
      </c>
      <c r="P541" s="10">
        <v>1</v>
      </c>
      <c r="S541" s="10">
        <v>1410</v>
      </c>
      <c r="T541" s="10">
        <v>1380</v>
      </c>
      <c r="U541" s="10" t="s">
        <v>1518</v>
      </c>
    </row>
    <row r="542" spans="1:21" ht="15" x14ac:dyDescent="0.35">
      <c r="A542" s="10">
        <v>673</v>
      </c>
      <c r="C542" s="10" t="s">
        <v>1278</v>
      </c>
      <c r="D542" s="10" t="s">
        <v>1268</v>
      </c>
      <c r="E542" s="10" t="s">
        <v>1272</v>
      </c>
      <c r="J542" s="10" t="s">
        <v>1270</v>
      </c>
      <c r="K542" s="10">
        <v>1250</v>
      </c>
      <c r="L542" s="10">
        <v>900</v>
      </c>
      <c r="M542" s="10">
        <v>1310</v>
      </c>
      <c r="N542" s="10">
        <v>1.47</v>
      </c>
      <c r="O542" s="10">
        <v>43</v>
      </c>
      <c r="P542" s="10">
        <v>1</v>
      </c>
      <c r="S542" s="10">
        <v>1415</v>
      </c>
      <c r="T542" s="10">
        <v>1372</v>
      </c>
      <c r="U542" s="10" t="s">
        <v>1518</v>
      </c>
    </row>
    <row r="543" spans="1:21" ht="15" x14ac:dyDescent="0.35">
      <c r="A543" s="10">
        <v>674</v>
      </c>
      <c r="C543" s="10" t="s">
        <v>1279</v>
      </c>
      <c r="D543" s="10" t="s">
        <v>1268</v>
      </c>
      <c r="E543" s="10" t="s">
        <v>1280</v>
      </c>
      <c r="J543" s="10" t="s">
        <v>1270</v>
      </c>
      <c r="K543" s="10">
        <v>1250</v>
      </c>
      <c r="L543" s="10">
        <v>900</v>
      </c>
      <c r="M543" s="10">
        <v>1310</v>
      </c>
      <c r="N543" s="10">
        <v>1.47</v>
      </c>
      <c r="O543" s="10">
        <v>29</v>
      </c>
      <c r="P543" s="10">
        <v>1</v>
      </c>
      <c r="S543" s="10">
        <v>1029</v>
      </c>
      <c r="T543" s="10">
        <v>1000</v>
      </c>
      <c r="U543" s="10" t="s">
        <v>1518</v>
      </c>
    </row>
    <row r="544" spans="1:21" ht="15" x14ac:dyDescent="0.35">
      <c r="A544" s="10">
        <v>675</v>
      </c>
      <c r="C544" s="10" t="s">
        <v>1281</v>
      </c>
      <c r="D544" s="10" t="s">
        <v>1268</v>
      </c>
      <c r="E544" s="10" t="s">
        <v>1280</v>
      </c>
      <c r="J544" s="10" t="s">
        <v>1270</v>
      </c>
      <c r="K544" s="10">
        <v>1250</v>
      </c>
      <c r="L544" s="10">
        <v>900</v>
      </c>
      <c r="M544" s="10">
        <v>1310</v>
      </c>
      <c r="N544" s="10">
        <v>1.47</v>
      </c>
      <c r="O544" s="10">
        <v>29</v>
      </c>
      <c r="P544" s="10">
        <v>1</v>
      </c>
      <c r="S544" s="10">
        <v>1059</v>
      </c>
      <c r="T544" s="10">
        <v>1030</v>
      </c>
      <c r="U544" s="10" t="s">
        <v>1518</v>
      </c>
    </row>
    <row r="545" spans="1:21" ht="15" x14ac:dyDescent="0.35">
      <c r="A545" s="10">
        <v>676</v>
      </c>
      <c r="C545" s="10" t="s">
        <v>1282</v>
      </c>
      <c r="D545" s="10" t="s">
        <v>1268</v>
      </c>
      <c r="E545" s="10" t="s">
        <v>1280</v>
      </c>
      <c r="J545" s="10" t="s">
        <v>1270</v>
      </c>
      <c r="K545" s="10">
        <v>1250</v>
      </c>
      <c r="L545" s="10">
        <v>900</v>
      </c>
      <c r="M545" s="10">
        <v>1310</v>
      </c>
      <c r="N545" s="10">
        <v>1.47</v>
      </c>
      <c r="O545" s="10">
        <v>30</v>
      </c>
      <c r="P545" s="10">
        <v>1</v>
      </c>
      <c r="S545" s="10">
        <v>1150</v>
      </c>
      <c r="T545" s="10">
        <v>1120</v>
      </c>
      <c r="U545" s="10" t="s">
        <v>1518</v>
      </c>
    </row>
    <row r="546" spans="1:21" ht="15" x14ac:dyDescent="0.35">
      <c r="A546" s="10">
        <v>677</v>
      </c>
      <c r="C546" s="10" t="s">
        <v>1283</v>
      </c>
      <c r="D546" s="10" t="s">
        <v>1268</v>
      </c>
      <c r="E546" s="10" t="s">
        <v>1280</v>
      </c>
      <c r="J546" s="10" t="s">
        <v>1270</v>
      </c>
      <c r="K546" s="10">
        <v>1250</v>
      </c>
      <c r="L546" s="10">
        <v>900</v>
      </c>
      <c r="M546" s="10">
        <v>1310</v>
      </c>
      <c r="N546" s="10">
        <v>1.47</v>
      </c>
      <c r="O546" s="10">
        <v>29</v>
      </c>
      <c r="P546" s="10">
        <v>1</v>
      </c>
      <c r="S546" s="10">
        <v>1269</v>
      </c>
      <c r="T546" s="10">
        <v>1240</v>
      </c>
      <c r="U546" s="10" t="s">
        <v>1518</v>
      </c>
    </row>
    <row r="547" spans="1:21" ht="15" x14ac:dyDescent="0.35">
      <c r="A547" s="10">
        <v>678</v>
      </c>
      <c r="C547" s="10" t="s">
        <v>1284</v>
      </c>
      <c r="D547" s="10" t="s">
        <v>1268</v>
      </c>
      <c r="E547" s="10" t="s">
        <v>1280</v>
      </c>
      <c r="J547" s="10" t="s">
        <v>1270</v>
      </c>
      <c r="K547" s="10">
        <v>1250</v>
      </c>
      <c r="L547" s="10">
        <v>900</v>
      </c>
      <c r="M547" s="10">
        <v>1310</v>
      </c>
      <c r="N547" s="10">
        <v>1.47</v>
      </c>
      <c r="O547" s="10">
        <v>29</v>
      </c>
      <c r="P547" s="10">
        <v>1</v>
      </c>
      <c r="S547" s="10">
        <v>1318</v>
      </c>
      <c r="T547" s="10">
        <v>1289</v>
      </c>
      <c r="U547" s="10" t="s">
        <v>1518</v>
      </c>
    </row>
    <row r="548" spans="1:21" ht="15" x14ac:dyDescent="0.35">
      <c r="A548" s="10">
        <v>679</v>
      </c>
      <c r="C548" s="10" t="s">
        <v>1285</v>
      </c>
      <c r="D548" s="10" t="s">
        <v>1268</v>
      </c>
      <c r="E548" s="10" t="s">
        <v>1280</v>
      </c>
      <c r="J548" s="10" t="s">
        <v>1270</v>
      </c>
      <c r="K548" s="10">
        <v>1250</v>
      </c>
      <c r="L548" s="10">
        <v>900</v>
      </c>
      <c r="M548" s="10">
        <v>1310</v>
      </c>
      <c r="N548" s="10">
        <v>1.47</v>
      </c>
      <c r="O548" s="10">
        <v>29</v>
      </c>
      <c r="P548" s="10">
        <v>1</v>
      </c>
      <c r="S548" s="10">
        <v>1409</v>
      </c>
      <c r="T548" s="10">
        <v>1380</v>
      </c>
      <c r="U548" s="10" t="s">
        <v>1518</v>
      </c>
    </row>
    <row r="549" spans="1:21" ht="15" x14ac:dyDescent="0.35">
      <c r="A549" s="10">
        <v>680</v>
      </c>
      <c r="C549" s="10" t="s">
        <v>1286</v>
      </c>
      <c r="D549" s="10" t="s">
        <v>1268</v>
      </c>
      <c r="E549" s="10" t="s">
        <v>1287</v>
      </c>
      <c r="J549" s="10" t="s">
        <v>1270</v>
      </c>
      <c r="K549" s="10">
        <v>1250</v>
      </c>
      <c r="L549" s="10">
        <v>900</v>
      </c>
      <c r="M549" s="10">
        <v>1310</v>
      </c>
      <c r="N549" s="10">
        <v>1.47</v>
      </c>
      <c r="O549" s="10">
        <v>29</v>
      </c>
      <c r="P549" s="10">
        <v>1</v>
      </c>
      <c r="S549" s="10">
        <v>1029</v>
      </c>
      <c r="T549" s="10">
        <v>1000</v>
      </c>
      <c r="U549" s="10" t="s">
        <v>1518</v>
      </c>
    </row>
    <row r="550" spans="1:21" ht="15" x14ac:dyDescent="0.35">
      <c r="A550" s="10">
        <v>681</v>
      </c>
      <c r="C550" s="10" t="s">
        <v>1288</v>
      </c>
      <c r="D550" s="10" t="s">
        <v>1268</v>
      </c>
      <c r="E550" s="10" t="s">
        <v>1287</v>
      </c>
      <c r="J550" s="10" t="s">
        <v>1270</v>
      </c>
      <c r="K550" s="10">
        <v>1250</v>
      </c>
      <c r="L550" s="10">
        <v>900</v>
      </c>
      <c r="M550" s="10">
        <v>1310</v>
      </c>
      <c r="N550" s="10">
        <v>1.47</v>
      </c>
      <c r="O550" s="10">
        <v>29</v>
      </c>
      <c r="P550" s="10">
        <v>1</v>
      </c>
      <c r="S550" s="10">
        <v>1059</v>
      </c>
      <c r="T550" s="10">
        <v>1030</v>
      </c>
      <c r="U550" s="10" t="s">
        <v>1518</v>
      </c>
    </row>
    <row r="551" spans="1:21" ht="15" x14ac:dyDescent="0.35">
      <c r="A551" s="10">
        <v>683</v>
      </c>
      <c r="C551" s="10" t="s">
        <v>1289</v>
      </c>
      <c r="D551" s="10" t="s">
        <v>1268</v>
      </c>
      <c r="E551" s="10" t="s">
        <v>1287</v>
      </c>
      <c r="J551" s="10" t="s">
        <v>1270</v>
      </c>
      <c r="K551" s="10">
        <v>1250</v>
      </c>
      <c r="L551" s="10">
        <v>900</v>
      </c>
      <c r="M551" s="10">
        <v>1310</v>
      </c>
      <c r="N551" s="10">
        <v>1.47</v>
      </c>
      <c r="O551" s="10">
        <v>29</v>
      </c>
      <c r="P551" s="10">
        <v>1</v>
      </c>
      <c r="S551" s="10">
        <v>1149</v>
      </c>
      <c r="T551" s="10">
        <v>1120</v>
      </c>
      <c r="U551" s="10" t="s">
        <v>1518</v>
      </c>
    </row>
    <row r="552" spans="1:21" ht="15" x14ac:dyDescent="0.35">
      <c r="A552" s="10">
        <v>685</v>
      </c>
      <c r="C552" s="10" t="s">
        <v>1290</v>
      </c>
      <c r="D552" s="10" t="s">
        <v>1268</v>
      </c>
      <c r="E552" s="10" t="s">
        <v>1287</v>
      </c>
      <c r="J552" s="10" t="s">
        <v>1270</v>
      </c>
      <c r="K552" s="10">
        <v>1250</v>
      </c>
      <c r="L552" s="10">
        <v>900</v>
      </c>
      <c r="M552" s="10">
        <v>1310</v>
      </c>
      <c r="N552" s="10">
        <v>1.47</v>
      </c>
      <c r="O552" s="10">
        <v>29</v>
      </c>
      <c r="P552" s="10">
        <v>1</v>
      </c>
      <c r="S552" s="10">
        <v>1269</v>
      </c>
      <c r="T552" s="10">
        <v>1240</v>
      </c>
      <c r="U552" s="10" t="s">
        <v>1518</v>
      </c>
    </row>
    <row r="553" spans="1:21" ht="15" x14ac:dyDescent="0.35">
      <c r="A553" s="10">
        <v>688</v>
      </c>
      <c r="C553" s="10" t="s">
        <v>1291</v>
      </c>
      <c r="D553" s="10" t="s">
        <v>1268</v>
      </c>
      <c r="E553" s="10" t="s">
        <v>1287</v>
      </c>
      <c r="J553" s="10" t="s">
        <v>1270</v>
      </c>
      <c r="K553" s="10">
        <v>1250</v>
      </c>
      <c r="L553" s="10">
        <v>900</v>
      </c>
      <c r="M553" s="10">
        <v>1310</v>
      </c>
      <c r="N553" s="10">
        <v>1.47</v>
      </c>
      <c r="O553" s="10">
        <v>29</v>
      </c>
      <c r="P553" s="10">
        <v>1</v>
      </c>
      <c r="S553" s="10">
        <v>1318</v>
      </c>
      <c r="T553" s="10">
        <v>1289</v>
      </c>
      <c r="U553" s="10" t="s">
        <v>1518</v>
      </c>
    </row>
    <row r="554" spans="1:21" ht="15" x14ac:dyDescent="0.35">
      <c r="A554" s="10">
        <v>689</v>
      </c>
      <c r="C554" s="10" t="s">
        <v>1292</v>
      </c>
      <c r="D554" s="10" t="s">
        <v>1268</v>
      </c>
      <c r="E554" s="10" t="s">
        <v>1287</v>
      </c>
      <c r="J554" s="10" t="s">
        <v>1270</v>
      </c>
      <c r="K554" s="10">
        <v>1250</v>
      </c>
      <c r="L554" s="10">
        <v>900</v>
      </c>
      <c r="M554" s="10">
        <v>1310</v>
      </c>
      <c r="N554" s="10">
        <v>1.47</v>
      </c>
      <c r="O554" s="10">
        <v>29</v>
      </c>
      <c r="P554" s="10">
        <v>1</v>
      </c>
      <c r="S554" s="10">
        <v>1409</v>
      </c>
      <c r="T554" s="10">
        <v>1380</v>
      </c>
      <c r="U554" s="10" t="s">
        <v>1518</v>
      </c>
    </row>
    <row r="555" spans="1:21" ht="15" x14ac:dyDescent="0.35">
      <c r="A555" s="10">
        <v>670</v>
      </c>
      <c r="C555" s="10" t="s">
        <v>1276</v>
      </c>
      <c r="D555" s="10" t="s">
        <v>1268</v>
      </c>
      <c r="E555" s="10" t="s">
        <v>1272</v>
      </c>
      <c r="J555" s="10" t="s">
        <v>1270</v>
      </c>
      <c r="K555" s="10">
        <v>1250</v>
      </c>
      <c r="L555" s="10">
        <v>900</v>
      </c>
      <c r="M555" s="10">
        <v>1310</v>
      </c>
      <c r="N555" s="10">
        <v>0.19</v>
      </c>
      <c r="O555" s="10">
        <v>29</v>
      </c>
      <c r="P555" s="10">
        <v>1</v>
      </c>
      <c r="S555" s="10">
        <v>1318</v>
      </c>
      <c r="T555" s="10">
        <v>1289</v>
      </c>
      <c r="U555" s="10" t="s">
        <v>1518</v>
      </c>
    </row>
    <row r="556" spans="1:21" ht="15" x14ac:dyDescent="0.35">
      <c r="A556" s="10">
        <v>672</v>
      </c>
      <c r="C556" s="10" t="s">
        <v>1277</v>
      </c>
      <c r="D556" s="10" t="s">
        <v>1268</v>
      </c>
      <c r="E556" s="10" t="s">
        <v>1272</v>
      </c>
      <c r="J556" s="10" t="s">
        <v>1270</v>
      </c>
      <c r="K556" s="10">
        <v>1250</v>
      </c>
      <c r="L556" s="10">
        <v>900</v>
      </c>
      <c r="M556" s="10">
        <v>1310</v>
      </c>
      <c r="N556" s="10">
        <v>0.19</v>
      </c>
      <c r="O556" s="10">
        <v>29</v>
      </c>
      <c r="P556" s="10">
        <v>1</v>
      </c>
      <c r="S556" s="10">
        <v>1409</v>
      </c>
      <c r="T556" s="10">
        <v>1380</v>
      </c>
      <c r="U556" s="10" t="s">
        <v>1518</v>
      </c>
    </row>
    <row r="557" spans="1:21" ht="15" x14ac:dyDescent="0.35">
      <c r="A557" s="10">
        <v>660</v>
      </c>
      <c r="C557" s="10" t="s">
        <v>1286</v>
      </c>
      <c r="D557" s="10" t="s">
        <v>1225</v>
      </c>
      <c r="E557" s="10" t="s">
        <v>1287</v>
      </c>
      <c r="J557" s="10" t="s">
        <v>1293</v>
      </c>
      <c r="K557" s="10">
        <v>1270</v>
      </c>
      <c r="L557" s="10">
        <v>920</v>
      </c>
      <c r="M557" s="10">
        <v>1040</v>
      </c>
      <c r="N557" s="10">
        <v>1.22</v>
      </c>
      <c r="O557" s="10">
        <v>24</v>
      </c>
      <c r="P557" s="10">
        <v>1</v>
      </c>
      <c r="S557" s="10">
        <v>912</v>
      </c>
      <c r="T557" s="10">
        <v>888</v>
      </c>
      <c r="U557" s="10" t="s">
        <v>1518</v>
      </c>
    </row>
    <row r="558" spans="1:21" ht="15" x14ac:dyDescent="0.35">
      <c r="A558" s="10">
        <v>664</v>
      </c>
      <c r="C558" s="10" t="s">
        <v>1271</v>
      </c>
      <c r="D558" s="10" t="s">
        <v>1268</v>
      </c>
      <c r="E558" s="10" t="s">
        <v>1272</v>
      </c>
      <c r="J558" s="10" t="s">
        <v>1293</v>
      </c>
      <c r="K558" s="10">
        <v>1270</v>
      </c>
      <c r="L558" s="10">
        <v>920</v>
      </c>
      <c r="M558" s="10">
        <v>1040</v>
      </c>
      <c r="N558" s="10">
        <v>1.22</v>
      </c>
      <c r="O558" s="10">
        <v>29</v>
      </c>
      <c r="P558" s="10">
        <v>1</v>
      </c>
      <c r="S558" s="10">
        <v>1057</v>
      </c>
      <c r="T558" s="10">
        <v>1028</v>
      </c>
      <c r="U558" s="10" t="s">
        <v>1518</v>
      </c>
    </row>
    <row r="559" spans="1:21" ht="15" x14ac:dyDescent="0.35">
      <c r="A559" s="10">
        <v>668</v>
      </c>
      <c r="C559" s="10" t="s">
        <v>1275</v>
      </c>
      <c r="D559" s="10" t="s">
        <v>1268</v>
      </c>
      <c r="E559" s="10" t="s">
        <v>1272</v>
      </c>
      <c r="J559" s="10" t="s">
        <v>1293</v>
      </c>
      <c r="K559" s="10">
        <v>1270</v>
      </c>
      <c r="L559" s="10">
        <v>920</v>
      </c>
      <c r="M559" s="10">
        <v>1040</v>
      </c>
      <c r="N559" s="10">
        <v>1.22</v>
      </c>
      <c r="O559" s="10">
        <v>29</v>
      </c>
      <c r="P559" s="10">
        <v>1</v>
      </c>
      <c r="S559" s="10">
        <v>1269</v>
      </c>
      <c r="T559" s="10">
        <v>1240</v>
      </c>
      <c r="U559" s="10" t="s">
        <v>1518</v>
      </c>
    </row>
    <row r="560" spans="1:21" ht="15" x14ac:dyDescent="0.35">
      <c r="A560" s="10">
        <v>682</v>
      </c>
      <c r="C560" s="10" t="s">
        <v>1288</v>
      </c>
      <c r="D560" s="10" t="s">
        <v>1268</v>
      </c>
      <c r="E560" s="10" t="s">
        <v>1287</v>
      </c>
      <c r="J560" s="10" t="s">
        <v>1293</v>
      </c>
      <c r="K560" s="10">
        <v>1270</v>
      </c>
      <c r="L560" s="10">
        <v>920</v>
      </c>
      <c r="M560" s="10">
        <v>1040</v>
      </c>
      <c r="N560" s="10">
        <v>1.22</v>
      </c>
      <c r="O560" s="10">
        <v>29</v>
      </c>
      <c r="P560" s="10">
        <v>1</v>
      </c>
      <c r="S560" s="10">
        <v>1059</v>
      </c>
      <c r="T560" s="10">
        <v>1030</v>
      </c>
      <c r="U560" s="10" t="s">
        <v>1518</v>
      </c>
    </row>
    <row r="561" spans="1:21" ht="15" x14ac:dyDescent="0.35">
      <c r="A561" s="10">
        <v>684</v>
      </c>
      <c r="C561" s="10" t="s">
        <v>1289</v>
      </c>
      <c r="D561" s="10" t="s">
        <v>1268</v>
      </c>
      <c r="E561" s="10" t="s">
        <v>1287</v>
      </c>
      <c r="J561" s="10" t="s">
        <v>1293</v>
      </c>
      <c r="K561" s="10">
        <v>1270</v>
      </c>
      <c r="L561" s="10">
        <v>920</v>
      </c>
      <c r="M561" s="10">
        <v>1040</v>
      </c>
      <c r="N561" s="10">
        <v>1.22</v>
      </c>
      <c r="O561" s="10">
        <v>29</v>
      </c>
      <c r="P561" s="10">
        <v>1</v>
      </c>
      <c r="S561" s="10">
        <v>1149</v>
      </c>
      <c r="T561" s="10">
        <v>1120</v>
      </c>
      <c r="U561" s="10" t="s">
        <v>1518</v>
      </c>
    </row>
    <row r="562" spans="1:21" ht="15" x14ac:dyDescent="0.35">
      <c r="A562" s="10">
        <v>686</v>
      </c>
      <c r="C562" s="10" t="s">
        <v>1290</v>
      </c>
      <c r="D562" s="10" t="s">
        <v>1268</v>
      </c>
      <c r="E562" s="10" t="s">
        <v>1287</v>
      </c>
      <c r="J562" s="10" t="s">
        <v>1293</v>
      </c>
      <c r="K562" s="10">
        <v>1270</v>
      </c>
      <c r="L562" s="10">
        <v>920</v>
      </c>
      <c r="M562" s="10">
        <v>1040</v>
      </c>
      <c r="N562" s="10">
        <v>1.22</v>
      </c>
      <c r="O562" s="10">
        <v>29</v>
      </c>
      <c r="P562" s="10">
        <v>1</v>
      </c>
      <c r="S562" s="10">
        <v>1269</v>
      </c>
      <c r="T562" s="10">
        <v>1240</v>
      </c>
      <c r="U562" s="10" t="s">
        <v>1518</v>
      </c>
    </row>
    <row r="563" spans="1:21" ht="15" x14ac:dyDescent="0.35">
      <c r="A563" s="10">
        <v>687</v>
      </c>
      <c r="C563" s="10" t="s">
        <v>1290</v>
      </c>
      <c r="D563" s="10" t="s">
        <v>1268</v>
      </c>
      <c r="E563" s="10" t="s">
        <v>1287</v>
      </c>
      <c r="J563" s="10" t="s">
        <v>1293</v>
      </c>
      <c r="K563" s="10">
        <v>1270</v>
      </c>
      <c r="L563" s="10">
        <v>920</v>
      </c>
      <c r="M563" s="10">
        <v>1040</v>
      </c>
      <c r="N563" s="10">
        <v>1.22</v>
      </c>
      <c r="O563" s="10">
        <v>29</v>
      </c>
      <c r="P563" s="10">
        <v>1</v>
      </c>
      <c r="S563" s="10">
        <v>1269</v>
      </c>
      <c r="T563" s="10">
        <v>1240</v>
      </c>
      <c r="U563" s="10" t="s">
        <v>1518</v>
      </c>
    </row>
    <row r="564" spans="1:21" ht="15" x14ac:dyDescent="0.35">
      <c r="A564" s="10">
        <v>661</v>
      </c>
      <c r="C564" s="10" t="s">
        <v>1294</v>
      </c>
      <c r="D564" s="10" t="s">
        <v>1268</v>
      </c>
      <c r="E564" s="10" t="s">
        <v>1294</v>
      </c>
      <c r="J564" s="10" t="s">
        <v>1295</v>
      </c>
      <c r="K564" s="10">
        <v>1330</v>
      </c>
      <c r="L564" s="10">
        <v>920</v>
      </c>
      <c r="M564" s="10">
        <v>1140</v>
      </c>
      <c r="N564" s="10">
        <v>1.39</v>
      </c>
      <c r="O564" s="10">
        <v>94</v>
      </c>
      <c r="P564" s="10">
        <v>1</v>
      </c>
      <c r="U564" s="10" t="s">
        <v>1516</v>
      </c>
    </row>
    <row r="565" spans="1:21" ht="15" x14ac:dyDescent="0.35">
      <c r="A565" s="10">
        <v>626</v>
      </c>
      <c r="C565" s="10" t="s">
        <v>1221</v>
      </c>
      <c r="D565" s="10" t="s">
        <v>1139</v>
      </c>
      <c r="E565" s="10" t="s">
        <v>1142</v>
      </c>
      <c r="J565" s="10" t="s">
        <v>1296</v>
      </c>
      <c r="K565" s="10">
        <v>1334</v>
      </c>
      <c r="L565" s="10">
        <v>820</v>
      </c>
      <c r="M565" s="10">
        <v>1050</v>
      </c>
      <c r="N565" s="10">
        <v>1.1499999999999999</v>
      </c>
      <c r="O565" s="10">
        <v>5.57</v>
      </c>
      <c r="P565" s="10">
        <v>1</v>
      </c>
      <c r="S565" s="10">
        <v>586</v>
      </c>
      <c r="T565" s="10">
        <v>554</v>
      </c>
      <c r="U565" s="10" t="s">
        <v>1517</v>
      </c>
    </row>
    <row r="566" spans="1:21" ht="15" x14ac:dyDescent="0.35">
      <c r="A566" s="10">
        <v>627</v>
      </c>
      <c r="C566" s="10" t="s">
        <v>1297</v>
      </c>
      <c r="D566" s="10" t="s">
        <v>1298</v>
      </c>
      <c r="E566" s="10" t="s">
        <v>1297</v>
      </c>
      <c r="J566" s="10" t="s">
        <v>1296</v>
      </c>
      <c r="K566" s="10">
        <v>1334</v>
      </c>
      <c r="L566" s="10">
        <v>820</v>
      </c>
      <c r="M566" s="10">
        <v>1050</v>
      </c>
      <c r="N566" s="10">
        <v>1.1499999999999999</v>
      </c>
      <c r="O566" s="10">
        <v>84</v>
      </c>
      <c r="P566" s="10">
        <v>1</v>
      </c>
      <c r="U566" s="10" t="s">
        <v>1516</v>
      </c>
    </row>
    <row r="567" spans="1:21" ht="15" x14ac:dyDescent="0.35">
      <c r="A567" s="10">
        <v>691</v>
      </c>
      <c r="C567" s="10" t="s">
        <v>1299</v>
      </c>
      <c r="D567" s="10" t="s">
        <v>1300</v>
      </c>
      <c r="E567" s="10" t="s">
        <v>1301</v>
      </c>
      <c r="J567" s="10" t="s">
        <v>1302</v>
      </c>
      <c r="K567" s="10">
        <v>1380</v>
      </c>
      <c r="L567" s="10">
        <v>900</v>
      </c>
      <c r="M567" s="10">
        <v>1100</v>
      </c>
      <c r="N567" s="10">
        <v>1.37</v>
      </c>
      <c r="O567" s="10">
        <v>29</v>
      </c>
      <c r="P567" s="10">
        <v>1</v>
      </c>
      <c r="S567" s="10">
        <v>1042</v>
      </c>
      <c r="T567" s="10">
        <v>1013</v>
      </c>
      <c r="U567" s="10" t="s">
        <v>1518</v>
      </c>
    </row>
    <row r="568" spans="1:21" ht="15" x14ac:dyDescent="0.35">
      <c r="A568" s="10">
        <v>693</v>
      </c>
      <c r="C568" s="10" t="s">
        <v>1303</v>
      </c>
      <c r="D568" s="10" t="s">
        <v>1300</v>
      </c>
      <c r="E568" s="10" t="s">
        <v>1301</v>
      </c>
      <c r="J568" s="10" t="s">
        <v>1302</v>
      </c>
      <c r="K568" s="10">
        <v>1380</v>
      </c>
      <c r="L568" s="10">
        <v>900</v>
      </c>
      <c r="M568" s="10">
        <v>1100</v>
      </c>
      <c r="N568" s="10">
        <v>1.37</v>
      </c>
      <c r="O568" s="10">
        <v>29</v>
      </c>
      <c r="P568" s="10">
        <v>1</v>
      </c>
      <c r="S568" s="10">
        <v>1171</v>
      </c>
      <c r="T568" s="10">
        <v>1142</v>
      </c>
      <c r="U568" s="10" t="s">
        <v>1518</v>
      </c>
    </row>
    <row r="569" spans="1:21" ht="15" x14ac:dyDescent="0.35">
      <c r="A569" s="10">
        <v>694</v>
      </c>
      <c r="C569" s="10" t="s">
        <v>1303</v>
      </c>
      <c r="D569" s="10" t="s">
        <v>1300</v>
      </c>
      <c r="E569" s="10" t="s">
        <v>1301</v>
      </c>
      <c r="J569" s="10" t="s">
        <v>1302</v>
      </c>
      <c r="K569" s="10">
        <v>1380</v>
      </c>
      <c r="L569" s="10">
        <v>900</v>
      </c>
      <c r="M569" s="10">
        <v>1100</v>
      </c>
      <c r="N569" s="10">
        <v>1.37</v>
      </c>
      <c r="O569" s="10">
        <v>29</v>
      </c>
      <c r="P569" s="10">
        <v>1</v>
      </c>
      <c r="S569" s="10">
        <v>1171</v>
      </c>
      <c r="T569" s="10">
        <v>1142</v>
      </c>
      <c r="U569" s="10" t="s">
        <v>1518</v>
      </c>
    </row>
    <row r="570" spans="1:21" ht="15" x14ac:dyDescent="0.35">
      <c r="A570" s="10">
        <v>696</v>
      </c>
      <c r="C570" s="10" t="s">
        <v>1304</v>
      </c>
      <c r="D570" s="10" t="s">
        <v>1300</v>
      </c>
      <c r="E570" s="10" t="s">
        <v>1301</v>
      </c>
      <c r="J570" s="10" t="s">
        <v>1302</v>
      </c>
      <c r="K570" s="10">
        <v>1380</v>
      </c>
      <c r="L570" s="10">
        <v>900</v>
      </c>
      <c r="M570" s="10">
        <v>1100</v>
      </c>
      <c r="N570" s="10">
        <v>1.37</v>
      </c>
      <c r="O570" s="10">
        <v>29</v>
      </c>
      <c r="P570" s="10">
        <v>1</v>
      </c>
      <c r="S570" s="10">
        <v>1259</v>
      </c>
      <c r="T570" s="10">
        <v>1230</v>
      </c>
      <c r="U570" s="10" t="s">
        <v>1518</v>
      </c>
    </row>
    <row r="571" spans="1:21" ht="15" x14ac:dyDescent="0.35">
      <c r="A571" s="10">
        <v>698</v>
      </c>
      <c r="C571" s="10" t="s">
        <v>1305</v>
      </c>
      <c r="D571" s="10" t="s">
        <v>1300</v>
      </c>
      <c r="E571" s="10" t="s">
        <v>1301</v>
      </c>
      <c r="J571" s="10" t="s">
        <v>1302</v>
      </c>
      <c r="K571" s="10">
        <v>1380</v>
      </c>
      <c r="L571" s="10">
        <v>900</v>
      </c>
      <c r="M571" s="10">
        <v>1100</v>
      </c>
      <c r="N571" s="10">
        <v>1.37</v>
      </c>
      <c r="O571" s="10">
        <v>29</v>
      </c>
      <c r="P571" s="10">
        <v>1</v>
      </c>
      <c r="S571" s="10">
        <v>1395</v>
      </c>
      <c r="T571" s="10">
        <v>1366</v>
      </c>
      <c r="U571" s="10" t="s">
        <v>1518</v>
      </c>
    </row>
    <row r="572" spans="1:21" ht="15" x14ac:dyDescent="0.35">
      <c r="A572" s="10">
        <v>700</v>
      </c>
      <c r="C572" s="10" t="s">
        <v>1306</v>
      </c>
      <c r="D572" s="10" t="s">
        <v>1300</v>
      </c>
      <c r="E572" s="10" t="s">
        <v>1301</v>
      </c>
      <c r="J572" s="10" t="s">
        <v>1302</v>
      </c>
      <c r="K572" s="10">
        <v>1380</v>
      </c>
      <c r="L572" s="10">
        <v>900</v>
      </c>
      <c r="M572" s="10">
        <v>1100</v>
      </c>
      <c r="N572" s="10">
        <v>1.37</v>
      </c>
      <c r="O572" s="10">
        <v>29</v>
      </c>
      <c r="P572" s="10">
        <v>1</v>
      </c>
      <c r="S572" s="10">
        <v>1443</v>
      </c>
      <c r="T572" s="10">
        <v>1414</v>
      </c>
      <c r="U572" s="10" t="s">
        <v>1518</v>
      </c>
    </row>
    <row r="573" spans="1:21" ht="15" x14ac:dyDescent="0.35">
      <c r="A573" s="10">
        <v>701</v>
      </c>
      <c r="C573" s="10" t="s">
        <v>1306</v>
      </c>
      <c r="D573" s="10" t="s">
        <v>1300</v>
      </c>
      <c r="E573" s="10" t="s">
        <v>1301</v>
      </c>
      <c r="J573" s="10" t="s">
        <v>1302</v>
      </c>
      <c r="K573" s="10">
        <v>1380</v>
      </c>
      <c r="L573" s="10">
        <v>900</v>
      </c>
      <c r="M573" s="10">
        <v>1100</v>
      </c>
      <c r="N573" s="10">
        <v>1.37</v>
      </c>
      <c r="O573" s="10">
        <v>29</v>
      </c>
      <c r="P573" s="10">
        <v>1</v>
      </c>
      <c r="S573" s="10">
        <v>1443</v>
      </c>
      <c r="T573" s="10">
        <v>1414</v>
      </c>
      <c r="U573" s="10" t="s">
        <v>1518</v>
      </c>
    </row>
    <row r="574" spans="1:21" ht="15" x14ac:dyDescent="0.35">
      <c r="A574" s="10">
        <v>690</v>
      </c>
      <c r="C574" s="10" t="s">
        <v>1299</v>
      </c>
      <c r="D574" s="10" t="s">
        <v>1300</v>
      </c>
      <c r="E574" s="10" t="s">
        <v>1301</v>
      </c>
      <c r="J574" s="10" t="s">
        <v>1307</v>
      </c>
      <c r="K574" s="10">
        <v>1440</v>
      </c>
      <c r="L574" s="10">
        <v>920</v>
      </c>
      <c r="M574" s="10">
        <v>1200</v>
      </c>
      <c r="N574" s="10">
        <v>1.59</v>
      </c>
      <c r="O574" s="10">
        <v>29</v>
      </c>
      <c r="P574" s="10">
        <v>1</v>
      </c>
      <c r="S574" s="10">
        <v>1042</v>
      </c>
      <c r="T574" s="10">
        <v>1013</v>
      </c>
      <c r="U574" s="10" t="s">
        <v>1518</v>
      </c>
    </row>
    <row r="575" spans="1:21" ht="15" x14ac:dyDescent="0.35">
      <c r="A575" s="10">
        <v>692</v>
      </c>
      <c r="C575" s="10" t="s">
        <v>1303</v>
      </c>
      <c r="D575" s="10" t="s">
        <v>1300</v>
      </c>
      <c r="E575" s="10" t="s">
        <v>1301</v>
      </c>
      <c r="J575" s="10" t="s">
        <v>1307</v>
      </c>
      <c r="K575" s="10">
        <v>1440</v>
      </c>
      <c r="L575" s="10">
        <v>920</v>
      </c>
      <c r="M575" s="10">
        <v>1200</v>
      </c>
      <c r="N575" s="10">
        <v>1.59</v>
      </c>
      <c r="O575" s="10">
        <v>29</v>
      </c>
      <c r="P575" s="10">
        <v>1</v>
      </c>
      <c r="S575" s="10">
        <v>1171</v>
      </c>
      <c r="T575" s="10">
        <v>1142</v>
      </c>
      <c r="U575" s="10" t="s">
        <v>1518</v>
      </c>
    </row>
    <row r="576" spans="1:21" ht="15" x14ac:dyDescent="0.35">
      <c r="A576" s="10">
        <v>695</v>
      </c>
      <c r="C576" s="10" t="s">
        <v>1304</v>
      </c>
      <c r="D576" s="10" t="s">
        <v>1300</v>
      </c>
      <c r="E576" s="10" t="s">
        <v>1301</v>
      </c>
      <c r="J576" s="10" t="s">
        <v>1307</v>
      </c>
      <c r="K576" s="10">
        <v>1440</v>
      </c>
      <c r="L576" s="10">
        <v>920</v>
      </c>
      <c r="M576" s="10">
        <v>1200</v>
      </c>
      <c r="N576" s="10">
        <v>1.59</v>
      </c>
      <c r="O576" s="10">
        <v>29</v>
      </c>
      <c r="P576" s="10">
        <v>1</v>
      </c>
      <c r="S576" s="10">
        <v>1259</v>
      </c>
      <c r="T576" s="10">
        <v>1230</v>
      </c>
      <c r="U576" s="10" t="s">
        <v>1518</v>
      </c>
    </row>
    <row r="577" spans="1:21" ht="15" x14ac:dyDescent="0.35">
      <c r="A577" s="10">
        <v>697</v>
      </c>
      <c r="C577" s="10" t="s">
        <v>1305</v>
      </c>
      <c r="D577" s="10" t="s">
        <v>1300</v>
      </c>
      <c r="E577" s="10" t="s">
        <v>1301</v>
      </c>
      <c r="J577" s="10" t="s">
        <v>1307</v>
      </c>
      <c r="K577" s="10">
        <v>1440</v>
      </c>
      <c r="L577" s="10">
        <v>920</v>
      </c>
      <c r="M577" s="10">
        <v>1200</v>
      </c>
      <c r="N577" s="10">
        <v>1.59</v>
      </c>
      <c r="O577" s="10">
        <v>29</v>
      </c>
      <c r="P577" s="10">
        <v>1</v>
      </c>
      <c r="S577" s="10">
        <v>1395</v>
      </c>
      <c r="T577" s="10">
        <v>1366</v>
      </c>
      <c r="U577" s="10" t="s">
        <v>1518</v>
      </c>
    </row>
    <row r="578" spans="1:21" ht="15" x14ac:dyDescent="0.35">
      <c r="A578" s="10">
        <v>699</v>
      </c>
      <c r="C578" s="10" t="s">
        <v>1306</v>
      </c>
      <c r="D578" s="10" t="s">
        <v>1300</v>
      </c>
      <c r="E578" s="10" t="s">
        <v>1301</v>
      </c>
      <c r="J578" s="10" t="s">
        <v>1307</v>
      </c>
      <c r="K578" s="10">
        <v>1440</v>
      </c>
      <c r="L578" s="10">
        <v>920</v>
      </c>
      <c r="M578" s="10">
        <v>1200</v>
      </c>
      <c r="N578" s="10">
        <v>1.59</v>
      </c>
      <c r="O578" s="10">
        <v>29</v>
      </c>
      <c r="P578" s="10">
        <v>1</v>
      </c>
      <c r="S578" s="10">
        <v>1443</v>
      </c>
      <c r="T578" s="10">
        <v>1414</v>
      </c>
      <c r="U578" s="10" t="s">
        <v>1518</v>
      </c>
    </row>
    <row r="579" spans="1:21" ht="15" x14ac:dyDescent="0.35">
      <c r="A579" s="10">
        <v>704</v>
      </c>
      <c r="C579" s="10" t="s">
        <v>1308</v>
      </c>
      <c r="D579" s="10" t="s">
        <v>1309</v>
      </c>
      <c r="E579" s="10" t="s">
        <v>1310</v>
      </c>
      <c r="J579" s="10" t="s">
        <v>1311</v>
      </c>
      <c r="K579" s="10">
        <v>1600</v>
      </c>
      <c r="L579" s="10">
        <v>1100</v>
      </c>
      <c r="M579" s="10">
        <v>1350</v>
      </c>
      <c r="N579" s="10">
        <v>2.38</v>
      </c>
      <c r="O579" s="10">
        <v>40</v>
      </c>
      <c r="P579" s="10">
        <v>1</v>
      </c>
      <c r="S579" s="10">
        <v>1425</v>
      </c>
      <c r="T579" s="10">
        <v>1385</v>
      </c>
      <c r="U579" s="10" t="s">
        <v>1518</v>
      </c>
    </row>
    <row r="580" spans="1:21" ht="15" x14ac:dyDescent="0.35">
      <c r="A580" s="10">
        <v>705</v>
      </c>
      <c r="C580" s="10" t="s">
        <v>1312</v>
      </c>
      <c r="D580" s="10" t="s">
        <v>1309</v>
      </c>
      <c r="E580" s="10" t="s">
        <v>1310</v>
      </c>
      <c r="J580" s="10" t="s">
        <v>1311</v>
      </c>
      <c r="K580" s="10">
        <v>1600</v>
      </c>
      <c r="L580" s="10">
        <v>1100</v>
      </c>
      <c r="M580" s="10">
        <v>1350</v>
      </c>
      <c r="N580" s="10">
        <v>2.38</v>
      </c>
      <c r="O580" s="10">
        <v>40</v>
      </c>
      <c r="P580" s="10">
        <v>1</v>
      </c>
      <c r="S580" s="10">
        <v>1490</v>
      </c>
      <c r="T580" s="10">
        <v>1450</v>
      </c>
      <c r="U580" s="10" t="s">
        <v>1518</v>
      </c>
    </row>
    <row r="581" spans="1:21" ht="15" x14ac:dyDescent="0.35">
      <c r="A581" s="10">
        <v>706</v>
      </c>
      <c r="C581" s="10" t="s">
        <v>1313</v>
      </c>
      <c r="D581" s="10" t="s">
        <v>1309</v>
      </c>
      <c r="E581" s="10" t="s">
        <v>1310</v>
      </c>
      <c r="J581" s="10" t="s">
        <v>1311</v>
      </c>
      <c r="K581" s="10">
        <v>1600</v>
      </c>
      <c r="L581" s="10">
        <v>1100</v>
      </c>
      <c r="M581" s="10">
        <v>1350</v>
      </c>
      <c r="N581" s="10">
        <v>2.38</v>
      </c>
      <c r="O581" s="10">
        <v>40</v>
      </c>
      <c r="P581" s="10">
        <v>1</v>
      </c>
      <c r="S581" s="10">
        <v>1590</v>
      </c>
      <c r="T581" s="10">
        <v>1550</v>
      </c>
      <c r="U581" s="10" t="s">
        <v>1518</v>
      </c>
    </row>
    <row r="582" spans="1:21" ht="15" x14ac:dyDescent="0.35">
      <c r="A582" s="10">
        <v>707</v>
      </c>
      <c r="C582" s="10" t="s">
        <v>1314</v>
      </c>
      <c r="D582" s="10" t="s">
        <v>1309</v>
      </c>
      <c r="E582" s="10" t="s">
        <v>1310</v>
      </c>
      <c r="J582" s="10" t="s">
        <v>1311</v>
      </c>
      <c r="K582" s="10">
        <v>1600</v>
      </c>
      <c r="L582" s="10">
        <v>1100</v>
      </c>
      <c r="M582" s="10">
        <v>1350</v>
      </c>
      <c r="N582" s="10">
        <v>2.38</v>
      </c>
      <c r="O582" s="10">
        <v>40</v>
      </c>
      <c r="P582" s="10">
        <v>1</v>
      </c>
      <c r="S582" s="10">
        <v>1680</v>
      </c>
      <c r="T582" s="10">
        <v>1640</v>
      </c>
      <c r="U582" s="10" t="s">
        <v>1518</v>
      </c>
    </row>
    <row r="583" spans="1:21" ht="15" x14ac:dyDescent="0.35">
      <c r="A583" s="10">
        <v>708</v>
      </c>
      <c r="C583" s="10" t="s">
        <v>1315</v>
      </c>
      <c r="D583" s="10" t="s">
        <v>1309</v>
      </c>
      <c r="E583" s="10" t="s">
        <v>1316</v>
      </c>
      <c r="J583" s="10" t="s">
        <v>1311</v>
      </c>
      <c r="K583" s="10">
        <v>1600</v>
      </c>
      <c r="L583" s="10">
        <v>1100</v>
      </c>
      <c r="M583" s="10">
        <v>1350</v>
      </c>
      <c r="N583" s="10">
        <v>2.38</v>
      </c>
      <c r="O583" s="10">
        <v>38</v>
      </c>
      <c r="P583" s="10">
        <v>1</v>
      </c>
      <c r="S583" s="10">
        <v>1423</v>
      </c>
      <c r="T583" s="10">
        <v>1385</v>
      </c>
      <c r="U583" s="10" t="s">
        <v>1518</v>
      </c>
    </row>
    <row r="584" spans="1:21" ht="15" x14ac:dyDescent="0.35">
      <c r="A584" s="10">
        <v>709</v>
      </c>
      <c r="C584" s="10" t="s">
        <v>1317</v>
      </c>
      <c r="D584" s="10" t="s">
        <v>1309</v>
      </c>
      <c r="E584" s="10" t="s">
        <v>1316</v>
      </c>
      <c r="J584" s="10" t="s">
        <v>1311</v>
      </c>
      <c r="K584" s="10">
        <v>1600</v>
      </c>
      <c r="L584" s="10">
        <v>1100</v>
      </c>
      <c r="M584" s="10">
        <v>1350</v>
      </c>
      <c r="N584" s="10">
        <v>2.38</v>
      </c>
      <c r="O584" s="10">
        <v>38</v>
      </c>
      <c r="P584" s="10">
        <v>1</v>
      </c>
      <c r="S584" s="10">
        <v>1488</v>
      </c>
      <c r="T584" s="10">
        <v>1450</v>
      </c>
      <c r="U584" s="10" t="s">
        <v>1518</v>
      </c>
    </row>
    <row r="585" spans="1:21" ht="15" x14ac:dyDescent="0.35">
      <c r="A585" s="10">
        <v>710</v>
      </c>
      <c r="C585" s="10" t="s">
        <v>1318</v>
      </c>
      <c r="D585" s="10" t="s">
        <v>1309</v>
      </c>
      <c r="E585" s="10" t="s">
        <v>1316</v>
      </c>
      <c r="J585" s="10" t="s">
        <v>1311</v>
      </c>
      <c r="K585" s="10">
        <v>1600</v>
      </c>
      <c r="L585" s="10">
        <v>1100</v>
      </c>
      <c r="M585" s="10">
        <v>1350</v>
      </c>
      <c r="N585" s="10">
        <v>2.38</v>
      </c>
      <c r="O585" s="10">
        <v>38</v>
      </c>
      <c r="P585" s="10">
        <v>1</v>
      </c>
      <c r="S585" s="10">
        <v>1588</v>
      </c>
      <c r="T585" s="10">
        <v>1550</v>
      </c>
      <c r="U585" s="10" t="s">
        <v>1518</v>
      </c>
    </row>
    <row r="586" spans="1:21" ht="15" x14ac:dyDescent="0.35">
      <c r="A586" s="10">
        <v>711</v>
      </c>
      <c r="C586" s="10" t="s">
        <v>1319</v>
      </c>
      <c r="D586" s="10" t="s">
        <v>1309</v>
      </c>
      <c r="E586" s="10" t="s">
        <v>1320</v>
      </c>
      <c r="J586" s="10" t="s">
        <v>1311</v>
      </c>
      <c r="K586" s="10">
        <v>1600</v>
      </c>
      <c r="L586" s="10">
        <v>1100</v>
      </c>
      <c r="M586" s="10">
        <v>1350</v>
      </c>
      <c r="N586" s="10">
        <v>2.38</v>
      </c>
      <c r="O586" s="10">
        <v>38</v>
      </c>
      <c r="P586" s="10">
        <v>1</v>
      </c>
      <c r="S586" s="10">
        <v>1678</v>
      </c>
      <c r="T586" s="10">
        <v>1640</v>
      </c>
      <c r="U586" s="10" t="s">
        <v>1518</v>
      </c>
    </row>
    <row r="587" spans="1:21" ht="15" x14ac:dyDescent="0.35">
      <c r="A587" s="10">
        <v>712</v>
      </c>
      <c r="C587" s="10" t="s">
        <v>1321</v>
      </c>
      <c r="D587" s="10" t="s">
        <v>1309</v>
      </c>
      <c r="E587" s="10" t="s">
        <v>1320</v>
      </c>
      <c r="J587" s="10" t="s">
        <v>1311</v>
      </c>
      <c r="K587" s="10">
        <v>1600</v>
      </c>
      <c r="L587" s="10">
        <v>1100</v>
      </c>
      <c r="M587" s="10">
        <v>1350</v>
      </c>
      <c r="N587" s="10">
        <v>2.38</v>
      </c>
      <c r="O587" s="10">
        <v>38</v>
      </c>
      <c r="P587" s="10">
        <v>1</v>
      </c>
      <c r="S587" s="10">
        <v>1678</v>
      </c>
      <c r="T587" s="10">
        <v>1640</v>
      </c>
      <c r="U587" s="10" t="s">
        <v>1518</v>
      </c>
    </row>
    <row r="588" spans="1:21" ht="15" x14ac:dyDescent="0.35">
      <c r="A588" s="10">
        <v>713</v>
      </c>
      <c r="C588" s="10" t="s">
        <v>1322</v>
      </c>
      <c r="D588" s="10" t="s">
        <v>1323</v>
      </c>
      <c r="E588" s="10" t="s">
        <v>1324</v>
      </c>
      <c r="J588" s="10" t="s">
        <v>1311</v>
      </c>
      <c r="K588" s="10">
        <v>1600</v>
      </c>
      <c r="L588" s="10">
        <v>1100</v>
      </c>
      <c r="M588" s="10">
        <v>1350</v>
      </c>
      <c r="N588" s="10">
        <v>2.38</v>
      </c>
      <c r="O588" s="10">
        <v>0</v>
      </c>
      <c r="P588" s="10">
        <v>1</v>
      </c>
      <c r="S588" s="10">
        <v>1450</v>
      </c>
      <c r="T588" s="10">
        <v>1450</v>
      </c>
      <c r="U588" s="10" t="s">
        <v>1516</v>
      </c>
    </row>
    <row r="589" spans="1:21" ht="15" x14ac:dyDescent="0.35">
      <c r="A589" s="10">
        <v>723</v>
      </c>
      <c r="C589" s="10" t="s">
        <v>1322</v>
      </c>
      <c r="D589" s="10" t="s">
        <v>1323</v>
      </c>
      <c r="E589" s="10" t="s">
        <v>1324</v>
      </c>
      <c r="J589" s="10" t="s">
        <v>1311</v>
      </c>
      <c r="K589" s="10">
        <v>1600</v>
      </c>
      <c r="L589" s="10">
        <v>1100</v>
      </c>
      <c r="M589" s="10">
        <v>1350</v>
      </c>
      <c r="N589" s="10">
        <v>2.38</v>
      </c>
      <c r="O589" s="10">
        <v>38</v>
      </c>
      <c r="P589" s="10">
        <v>1</v>
      </c>
      <c r="S589" s="10">
        <v>1488</v>
      </c>
      <c r="T589" s="10">
        <v>1450</v>
      </c>
      <c r="U589" s="10" t="s">
        <v>1518</v>
      </c>
    </row>
    <row r="590" spans="1:21" ht="15" x14ac:dyDescent="0.35">
      <c r="A590" s="10">
        <v>725</v>
      </c>
      <c r="C590" s="10" t="s">
        <v>1325</v>
      </c>
      <c r="D590" s="10" t="s">
        <v>1323</v>
      </c>
      <c r="E590" s="10" t="s">
        <v>1324</v>
      </c>
      <c r="J590" s="10" t="s">
        <v>1326</v>
      </c>
      <c r="K590" s="10">
        <v>1680</v>
      </c>
      <c r="L590" s="10">
        <v>1000</v>
      </c>
      <c r="M590" s="10">
        <v>1278</v>
      </c>
      <c r="N590" s="10">
        <v>2.1</v>
      </c>
      <c r="O590" s="10">
        <v>42</v>
      </c>
      <c r="P590" s="10">
        <v>1</v>
      </c>
      <c r="S590" s="10">
        <v>1630</v>
      </c>
      <c r="T590" s="10">
        <v>1588</v>
      </c>
      <c r="U590" s="10" t="s">
        <v>1518</v>
      </c>
    </row>
    <row r="591" spans="1:21" ht="15" x14ac:dyDescent="0.35">
      <c r="A591" s="10">
        <v>702</v>
      </c>
      <c r="C591" s="10" t="s">
        <v>1327</v>
      </c>
      <c r="D591" s="10" t="s">
        <v>1328</v>
      </c>
      <c r="E591" s="10" t="s">
        <v>1327</v>
      </c>
      <c r="J591" s="10" t="s">
        <v>1329</v>
      </c>
      <c r="K591" s="10">
        <v>1684</v>
      </c>
      <c r="L591" s="10">
        <v>1120</v>
      </c>
      <c r="M591" s="10">
        <v>1350</v>
      </c>
      <c r="N591" s="10">
        <v>2.5499999999999998</v>
      </c>
      <c r="O591" s="10">
        <v>121</v>
      </c>
      <c r="P591" s="10">
        <v>1</v>
      </c>
      <c r="U591" s="10" t="s">
        <v>1516</v>
      </c>
    </row>
    <row r="592" spans="1:21" ht="15" x14ac:dyDescent="0.35">
      <c r="A592" s="10">
        <v>703</v>
      </c>
      <c r="C592" s="10" t="s">
        <v>1330</v>
      </c>
      <c r="D592" s="10" t="s">
        <v>1330</v>
      </c>
      <c r="E592" s="10" t="s">
        <v>1330</v>
      </c>
      <c r="J592" s="10" t="s">
        <v>1329</v>
      </c>
      <c r="K592" s="10">
        <v>1684</v>
      </c>
      <c r="L592" s="10">
        <v>1120</v>
      </c>
      <c r="M592" s="10">
        <v>1350</v>
      </c>
      <c r="N592" s="10">
        <v>2.5499999999999998</v>
      </c>
      <c r="O592" s="10">
        <v>121</v>
      </c>
      <c r="P592" s="10">
        <v>1</v>
      </c>
      <c r="U592" s="10" t="s">
        <v>1516</v>
      </c>
    </row>
    <row r="593" spans="1:21" ht="15" x14ac:dyDescent="0.35">
      <c r="A593" s="10">
        <v>715</v>
      </c>
      <c r="C593" s="10" t="s">
        <v>1331</v>
      </c>
      <c r="D593" s="10" t="s">
        <v>1323</v>
      </c>
      <c r="E593" s="10" t="s">
        <v>1331</v>
      </c>
      <c r="J593" s="10" t="s">
        <v>1332</v>
      </c>
      <c r="K593" s="10">
        <v>1700</v>
      </c>
      <c r="L593" s="10">
        <v>1100</v>
      </c>
      <c r="M593" s="10">
        <v>1240</v>
      </c>
      <c r="N593" s="10">
        <v>2.31</v>
      </c>
      <c r="O593" s="10">
        <v>61</v>
      </c>
      <c r="P593" s="10">
        <v>1</v>
      </c>
      <c r="U593" s="10" t="s">
        <v>1516</v>
      </c>
    </row>
    <row r="594" spans="1:21" ht="15" x14ac:dyDescent="0.35">
      <c r="A594" s="10">
        <v>728</v>
      </c>
      <c r="C594" s="10" t="s">
        <v>1333</v>
      </c>
      <c r="D594" s="10" t="s">
        <v>1323</v>
      </c>
      <c r="E594" s="10" t="s">
        <v>1324</v>
      </c>
      <c r="J594" s="10" t="s">
        <v>1332</v>
      </c>
      <c r="K594" s="10">
        <v>1700</v>
      </c>
      <c r="L594" s="10">
        <v>1100</v>
      </c>
      <c r="M594" s="10">
        <v>1240</v>
      </c>
      <c r="N594" s="10">
        <v>2.3199999999999998</v>
      </c>
      <c r="O594" s="10">
        <v>47</v>
      </c>
      <c r="P594" s="10">
        <v>1</v>
      </c>
      <c r="S594" s="10">
        <v>1696</v>
      </c>
      <c r="T594" s="10">
        <v>1649</v>
      </c>
      <c r="U594" s="10" t="s">
        <v>1518</v>
      </c>
    </row>
    <row r="595" spans="1:21" ht="15" x14ac:dyDescent="0.35">
      <c r="A595" s="10">
        <v>731</v>
      </c>
      <c r="C595" s="10" t="s">
        <v>1334</v>
      </c>
      <c r="D595" s="10" t="s">
        <v>1323</v>
      </c>
      <c r="E595" s="10" t="s">
        <v>1324</v>
      </c>
      <c r="J595" s="10" t="s">
        <v>1332</v>
      </c>
      <c r="K595" s="10">
        <v>1700</v>
      </c>
      <c r="L595" s="10">
        <v>1100</v>
      </c>
      <c r="M595" s="10">
        <v>1240</v>
      </c>
      <c r="N595" s="10">
        <v>2.3199999999999998</v>
      </c>
      <c r="O595" s="10">
        <v>40</v>
      </c>
      <c r="P595" s="10">
        <v>1</v>
      </c>
      <c r="S595" s="10">
        <v>1628</v>
      </c>
      <c r="T595" s="10">
        <v>1588</v>
      </c>
      <c r="U595" s="10" t="s">
        <v>1518</v>
      </c>
    </row>
    <row r="596" spans="1:21" ht="15" x14ac:dyDescent="0.35">
      <c r="A596" s="10">
        <v>738</v>
      </c>
      <c r="C596" s="10" t="s">
        <v>1335</v>
      </c>
      <c r="D596" s="10" t="s">
        <v>1323</v>
      </c>
      <c r="E596" s="10" t="s">
        <v>1336</v>
      </c>
      <c r="J596" s="10" t="s">
        <v>1332</v>
      </c>
      <c r="K596" s="10">
        <v>1700</v>
      </c>
      <c r="L596" s="10">
        <v>1100</v>
      </c>
      <c r="M596" s="10">
        <v>1240</v>
      </c>
      <c r="N596" s="10">
        <v>2.3199999999999998</v>
      </c>
      <c r="O596" s="10">
        <v>42</v>
      </c>
      <c r="P596" s="10">
        <v>1</v>
      </c>
      <c r="S596" s="10">
        <v>1691</v>
      </c>
      <c r="T596" s="10">
        <v>1649</v>
      </c>
      <c r="U596" s="10" t="s">
        <v>1518</v>
      </c>
    </row>
    <row r="597" spans="1:21" ht="15" x14ac:dyDescent="0.35">
      <c r="A597" s="10">
        <v>739</v>
      </c>
      <c r="C597" s="10" t="s">
        <v>1335</v>
      </c>
      <c r="D597" s="10" t="s">
        <v>1323</v>
      </c>
      <c r="E597" s="10" t="s">
        <v>1336</v>
      </c>
      <c r="J597" s="10" t="s">
        <v>1332</v>
      </c>
      <c r="K597" s="10">
        <v>1700</v>
      </c>
      <c r="L597" s="10">
        <v>1100</v>
      </c>
      <c r="M597" s="10">
        <v>1240</v>
      </c>
      <c r="N597" s="10">
        <v>2.3199999999999998</v>
      </c>
      <c r="O597" s="10">
        <v>47</v>
      </c>
      <c r="P597" s="10">
        <v>1</v>
      </c>
      <c r="S597" s="10">
        <v>1696</v>
      </c>
      <c r="T597" s="10">
        <v>1649</v>
      </c>
      <c r="U597" s="10" t="s">
        <v>1518</v>
      </c>
    </row>
    <row r="598" spans="1:21" ht="15" x14ac:dyDescent="0.35">
      <c r="A598" s="10">
        <v>740</v>
      </c>
      <c r="C598" s="10" t="s">
        <v>1335</v>
      </c>
      <c r="D598" s="10" t="s">
        <v>1323</v>
      </c>
      <c r="E598" s="10" t="s">
        <v>1336</v>
      </c>
      <c r="J598" s="10" t="s">
        <v>1332</v>
      </c>
      <c r="K598" s="10">
        <v>1700</v>
      </c>
      <c r="L598" s="10">
        <v>1100</v>
      </c>
      <c r="M598" s="10">
        <v>1240</v>
      </c>
      <c r="N598" s="10">
        <v>2.3199999999999998</v>
      </c>
      <c r="O598" s="10">
        <v>47</v>
      </c>
      <c r="P598" s="10">
        <v>1</v>
      </c>
      <c r="S598" s="10">
        <v>1696</v>
      </c>
      <c r="T598" s="10">
        <v>1649</v>
      </c>
      <c r="U598" s="10" t="s">
        <v>1518</v>
      </c>
    </row>
    <row r="599" spans="1:21" ht="15" x14ac:dyDescent="0.35">
      <c r="A599" s="10">
        <v>727</v>
      </c>
      <c r="C599" s="10" t="s">
        <v>1333</v>
      </c>
      <c r="D599" s="10" t="s">
        <v>1323</v>
      </c>
      <c r="E599" s="10" t="s">
        <v>1324</v>
      </c>
      <c r="J599" s="10" t="s">
        <v>1337</v>
      </c>
      <c r="K599" s="10">
        <v>1700</v>
      </c>
      <c r="L599" s="10">
        <v>1100</v>
      </c>
      <c r="M599" s="10">
        <v>1340</v>
      </c>
      <c r="N599" s="10">
        <v>2.5</v>
      </c>
      <c r="O599" s="10">
        <v>42</v>
      </c>
      <c r="P599" s="10">
        <v>1</v>
      </c>
      <c r="S599" s="10">
        <v>1691</v>
      </c>
      <c r="T599" s="10">
        <v>1649</v>
      </c>
      <c r="U599" s="10" t="s">
        <v>1518</v>
      </c>
    </row>
    <row r="600" spans="1:21" ht="15" x14ac:dyDescent="0.35">
      <c r="A600" s="10">
        <v>651</v>
      </c>
      <c r="C600" s="10" t="s">
        <v>1338</v>
      </c>
      <c r="D600" s="10" t="s">
        <v>1323</v>
      </c>
      <c r="E600" s="10" t="s">
        <v>1324</v>
      </c>
      <c r="J600" s="10" t="s">
        <v>1339</v>
      </c>
      <c r="K600" s="10">
        <v>1700</v>
      </c>
      <c r="L600" s="10">
        <v>1100</v>
      </c>
      <c r="M600" s="10">
        <v>1400</v>
      </c>
      <c r="N600" s="10">
        <v>2.61</v>
      </c>
      <c r="O600" s="10">
        <v>40</v>
      </c>
      <c r="P600" s="10">
        <v>1</v>
      </c>
      <c r="S600" s="10">
        <v>1883</v>
      </c>
      <c r="T600" s="10">
        <v>1843</v>
      </c>
      <c r="U600" s="10" t="s">
        <v>1518</v>
      </c>
    </row>
    <row r="601" spans="1:21" ht="15" x14ac:dyDescent="0.35">
      <c r="A601" s="10">
        <v>724</v>
      </c>
      <c r="C601" s="10" t="s">
        <v>1340</v>
      </c>
      <c r="D601" s="10" t="s">
        <v>1323</v>
      </c>
      <c r="E601" s="10" t="s">
        <v>1324</v>
      </c>
      <c r="J601" s="10" t="s">
        <v>1339</v>
      </c>
      <c r="K601" s="10">
        <v>1700</v>
      </c>
      <c r="L601" s="10">
        <v>1100</v>
      </c>
      <c r="M601" s="10">
        <v>1400</v>
      </c>
      <c r="N601" s="10">
        <v>2.61</v>
      </c>
      <c r="O601" s="10">
        <v>40</v>
      </c>
      <c r="P601" s="10">
        <v>1</v>
      </c>
      <c r="S601" s="10">
        <v>1620</v>
      </c>
      <c r="T601" s="10">
        <v>1580</v>
      </c>
      <c r="U601" s="10" t="s">
        <v>1518</v>
      </c>
    </row>
    <row r="602" spans="1:21" ht="15" x14ac:dyDescent="0.35">
      <c r="A602" s="10">
        <v>726</v>
      </c>
      <c r="C602" s="10" t="s">
        <v>1341</v>
      </c>
      <c r="D602" s="10" t="s">
        <v>1323</v>
      </c>
      <c r="E602" s="10" t="s">
        <v>1324</v>
      </c>
      <c r="J602" s="10" t="s">
        <v>1339</v>
      </c>
      <c r="K602" s="10">
        <v>1700</v>
      </c>
      <c r="L602" s="10">
        <v>1100</v>
      </c>
      <c r="M602" s="10">
        <v>1400</v>
      </c>
      <c r="N602" s="10">
        <v>2.61</v>
      </c>
      <c r="O602" s="10">
        <v>40</v>
      </c>
      <c r="P602" s="10">
        <v>1</v>
      </c>
      <c r="S602" s="10">
        <v>1681</v>
      </c>
      <c r="T602" s="10">
        <v>1641</v>
      </c>
      <c r="U602" s="10" t="s">
        <v>1518</v>
      </c>
    </row>
    <row r="603" spans="1:21" ht="15" x14ac:dyDescent="0.35">
      <c r="A603" s="10">
        <v>729</v>
      </c>
      <c r="C603" s="10" t="s">
        <v>1342</v>
      </c>
      <c r="D603" s="10" t="s">
        <v>1323</v>
      </c>
      <c r="E603" s="10" t="s">
        <v>1324</v>
      </c>
      <c r="J603" s="10" t="s">
        <v>1339</v>
      </c>
      <c r="K603" s="10">
        <v>1700</v>
      </c>
      <c r="L603" s="10">
        <v>1100</v>
      </c>
      <c r="M603" s="10">
        <v>1400</v>
      </c>
      <c r="N603" s="10">
        <v>2.61</v>
      </c>
      <c r="O603" s="10">
        <v>40</v>
      </c>
      <c r="P603" s="10">
        <v>1</v>
      </c>
      <c r="S603" s="10">
        <v>1834</v>
      </c>
      <c r="T603" s="10">
        <v>1794</v>
      </c>
      <c r="U603" s="10" t="s">
        <v>1518</v>
      </c>
    </row>
    <row r="604" spans="1:21" ht="15" x14ac:dyDescent="0.35">
      <c r="A604" s="10">
        <v>730</v>
      </c>
      <c r="C604" s="10" t="s">
        <v>1334</v>
      </c>
      <c r="D604" s="10" t="s">
        <v>1323</v>
      </c>
      <c r="E604" s="10" t="s">
        <v>1324</v>
      </c>
      <c r="J604" s="10" t="s">
        <v>1339</v>
      </c>
      <c r="K604" s="10">
        <v>1700</v>
      </c>
      <c r="L604" s="10">
        <v>1100</v>
      </c>
      <c r="M604" s="10">
        <v>1400</v>
      </c>
      <c r="N604" s="10">
        <v>2.61</v>
      </c>
      <c r="O604" s="10">
        <v>40</v>
      </c>
      <c r="P604" s="10">
        <v>1</v>
      </c>
      <c r="S604" s="10">
        <v>1628</v>
      </c>
      <c r="T604" s="10">
        <v>1588</v>
      </c>
      <c r="U604" s="10" t="s">
        <v>1518</v>
      </c>
    </row>
    <row r="605" spans="1:21" ht="15" x14ac:dyDescent="0.35">
      <c r="A605" s="10">
        <v>732</v>
      </c>
      <c r="C605" s="10" t="s">
        <v>1343</v>
      </c>
      <c r="D605" s="10" t="s">
        <v>1323</v>
      </c>
      <c r="E605" s="10" t="s">
        <v>1324</v>
      </c>
      <c r="J605" s="10" t="s">
        <v>1339</v>
      </c>
      <c r="K605" s="10">
        <v>1700</v>
      </c>
      <c r="L605" s="10">
        <v>1100</v>
      </c>
      <c r="M605" s="10">
        <v>1400</v>
      </c>
      <c r="N605" s="10">
        <v>2.61</v>
      </c>
      <c r="O605" s="10">
        <v>40</v>
      </c>
      <c r="P605" s="10">
        <v>1</v>
      </c>
      <c r="S605" s="10">
        <v>1620</v>
      </c>
      <c r="T605" s="10">
        <v>1580</v>
      </c>
      <c r="U605" s="10" t="s">
        <v>1518</v>
      </c>
    </row>
    <row r="606" spans="1:21" ht="15" x14ac:dyDescent="0.35">
      <c r="A606" s="10">
        <v>733</v>
      </c>
      <c r="C606" s="10" t="s">
        <v>1344</v>
      </c>
      <c r="D606" s="10" t="s">
        <v>1323</v>
      </c>
      <c r="E606" s="10" t="s">
        <v>1324</v>
      </c>
      <c r="J606" s="10" t="s">
        <v>1339</v>
      </c>
      <c r="K606" s="10">
        <v>1700</v>
      </c>
      <c r="L606" s="10">
        <v>1100</v>
      </c>
      <c r="M606" s="10">
        <v>1400</v>
      </c>
      <c r="N606" s="10">
        <v>2.61</v>
      </c>
      <c r="O606" s="10">
        <v>40</v>
      </c>
      <c r="P606" s="10">
        <v>1</v>
      </c>
      <c r="S606" s="10">
        <v>1681</v>
      </c>
      <c r="T606" s="10">
        <v>1641</v>
      </c>
      <c r="U606" s="10" t="s">
        <v>1518</v>
      </c>
    </row>
    <row r="607" spans="1:21" ht="15" x14ac:dyDescent="0.35">
      <c r="A607" s="10">
        <v>734</v>
      </c>
      <c r="C607" s="10" t="s">
        <v>1345</v>
      </c>
      <c r="D607" s="10" t="s">
        <v>1323</v>
      </c>
      <c r="E607" s="10" t="s">
        <v>1336</v>
      </c>
      <c r="J607" s="10" t="s">
        <v>1339</v>
      </c>
      <c r="K607" s="10">
        <v>1700</v>
      </c>
      <c r="L607" s="10">
        <v>1100</v>
      </c>
      <c r="M607" s="10">
        <v>1400</v>
      </c>
      <c r="N607" s="10">
        <v>2.61</v>
      </c>
      <c r="O607" s="10">
        <v>40</v>
      </c>
      <c r="P607" s="10">
        <v>1</v>
      </c>
      <c r="S607" s="10">
        <v>1834</v>
      </c>
      <c r="T607" s="10">
        <v>1794</v>
      </c>
      <c r="U607" s="10" t="s">
        <v>1518</v>
      </c>
    </row>
    <row r="608" spans="1:21" ht="15" x14ac:dyDescent="0.35">
      <c r="A608" s="10">
        <v>735</v>
      </c>
      <c r="C608" s="10" t="s">
        <v>1346</v>
      </c>
      <c r="D608" s="10" t="s">
        <v>1323</v>
      </c>
      <c r="E608" s="10" t="s">
        <v>1336</v>
      </c>
      <c r="J608" s="10" t="s">
        <v>1339</v>
      </c>
      <c r="K608" s="10">
        <v>1700</v>
      </c>
      <c r="L608" s="10">
        <v>1100</v>
      </c>
      <c r="M608" s="10">
        <v>1400</v>
      </c>
      <c r="N608" s="10">
        <v>2.61</v>
      </c>
      <c r="O608" s="10">
        <v>40</v>
      </c>
      <c r="P608" s="10">
        <v>1</v>
      </c>
      <c r="S608" s="10">
        <v>1834</v>
      </c>
      <c r="T608" s="10">
        <v>1794</v>
      </c>
      <c r="U608" s="10" t="s">
        <v>1518</v>
      </c>
    </row>
    <row r="609" spans="1:21" ht="15" x14ac:dyDescent="0.35">
      <c r="A609" s="10">
        <v>736</v>
      </c>
      <c r="C609" s="10" t="s">
        <v>1347</v>
      </c>
      <c r="D609" s="10" t="s">
        <v>1323</v>
      </c>
      <c r="E609" s="10" t="s">
        <v>1336</v>
      </c>
      <c r="J609" s="10" t="s">
        <v>1339</v>
      </c>
      <c r="K609" s="10">
        <v>1700</v>
      </c>
      <c r="L609" s="10">
        <v>1100</v>
      </c>
      <c r="M609" s="10">
        <v>1400</v>
      </c>
      <c r="N609" s="10">
        <v>2.61</v>
      </c>
      <c r="O609" s="10">
        <v>40</v>
      </c>
      <c r="P609" s="10">
        <v>1</v>
      </c>
      <c r="S609" s="10">
        <v>1689</v>
      </c>
      <c r="T609" s="10">
        <v>1649</v>
      </c>
      <c r="U609" s="10" t="s">
        <v>1518</v>
      </c>
    </row>
    <row r="610" spans="1:21" ht="15" x14ac:dyDescent="0.35">
      <c r="A610" s="10">
        <v>737</v>
      </c>
      <c r="C610" s="10" t="s">
        <v>1348</v>
      </c>
      <c r="D610" s="10" t="s">
        <v>1323</v>
      </c>
      <c r="E610" s="10" t="s">
        <v>1336</v>
      </c>
      <c r="J610" s="10" t="s">
        <v>1339</v>
      </c>
      <c r="K610" s="10">
        <v>1700</v>
      </c>
      <c r="L610" s="10">
        <v>1100</v>
      </c>
      <c r="M610" s="10">
        <v>1400</v>
      </c>
      <c r="N610" s="10">
        <v>2.61</v>
      </c>
      <c r="O610" s="10">
        <v>40</v>
      </c>
      <c r="P610" s="10">
        <v>1</v>
      </c>
      <c r="S610" s="10">
        <v>1481</v>
      </c>
      <c r="T610" s="10">
        <v>1441</v>
      </c>
      <c r="U610" s="10" t="s">
        <v>1518</v>
      </c>
    </row>
    <row r="611" spans="1:21" ht="15" x14ac:dyDescent="0.35">
      <c r="A611" s="10">
        <v>741</v>
      </c>
      <c r="C611" s="10" t="s">
        <v>1349</v>
      </c>
      <c r="D611" s="10" t="s">
        <v>1323</v>
      </c>
      <c r="E611" s="10" t="s">
        <v>1336</v>
      </c>
      <c r="J611" s="10" t="s">
        <v>1339</v>
      </c>
      <c r="K611" s="10">
        <v>1700</v>
      </c>
      <c r="L611" s="10">
        <v>1100</v>
      </c>
      <c r="M611" s="10">
        <v>1400</v>
      </c>
      <c r="N611" s="10">
        <v>2.61</v>
      </c>
      <c r="O611" s="10">
        <v>40</v>
      </c>
      <c r="P611" s="10">
        <v>1</v>
      </c>
      <c r="S611" s="10">
        <v>1628</v>
      </c>
      <c r="T611" s="10">
        <v>1588</v>
      </c>
      <c r="U611" s="10" t="s">
        <v>1518</v>
      </c>
    </row>
    <row r="612" spans="1:21" ht="15" x14ac:dyDescent="0.35">
      <c r="A612" s="10">
        <v>742</v>
      </c>
      <c r="C612" s="10" t="s">
        <v>1350</v>
      </c>
      <c r="D612" s="10" t="s">
        <v>1323</v>
      </c>
      <c r="E612" s="10" t="s">
        <v>1336</v>
      </c>
      <c r="J612" s="10" t="s">
        <v>1339</v>
      </c>
      <c r="K612" s="10">
        <v>1700</v>
      </c>
      <c r="L612" s="10">
        <v>1100</v>
      </c>
      <c r="M612" s="10">
        <v>1400</v>
      </c>
      <c r="N612" s="10">
        <v>2.61</v>
      </c>
      <c r="O612" s="10">
        <v>40</v>
      </c>
      <c r="P612" s="10">
        <v>1</v>
      </c>
      <c r="S612" s="10">
        <v>1883</v>
      </c>
      <c r="T612" s="10">
        <v>1843</v>
      </c>
      <c r="U612" s="10" t="s">
        <v>1518</v>
      </c>
    </row>
    <row r="613" spans="1:21" ht="15" x14ac:dyDescent="0.35">
      <c r="A613" s="10">
        <v>743</v>
      </c>
      <c r="C613" s="10" t="s">
        <v>1350</v>
      </c>
      <c r="D613" s="10" t="s">
        <v>1323</v>
      </c>
      <c r="E613" s="10" t="s">
        <v>1336</v>
      </c>
      <c r="J613" s="10" t="s">
        <v>1339</v>
      </c>
      <c r="K613" s="10">
        <v>1700</v>
      </c>
      <c r="L613" s="10">
        <v>1100</v>
      </c>
      <c r="M613" s="10">
        <v>1400</v>
      </c>
      <c r="N613" s="10">
        <v>2.62</v>
      </c>
      <c r="O613" s="10">
        <v>40</v>
      </c>
      <c r="P613" s="10">
        <v>1</v>
      </c>
      <c r="S613" s="10">
        <v>1883</v>
      </c>
      <c r="T613" s="10">
        <v>1843</v>
      </c>
      <c r="U613" s="10" t="s">
        <v>1518</v>
      </c>
    </row>
    <row r="614" spans="1:21" ht="15" x14ac:dyDescent="0.35">
      <c r="A614" s="10">
        <v>744</v>
      </c>
      <c r="C614" s="10" t="s">
        <v>1351</v>
      </c>
      <c r="D614" s="10" t="s">
        <v>1323</v>
      </c>
      <c r="E614" s="10" t="s">
        <v>1336</v>
      </c>
      <c r="J614" s="10" t="s">
        <v>1339</v>
      </c>
      <c r="K614" s="10">
        <v>1700</v>
      </c>
      <c r="L614" s="10">
        <v>1100</v>
      </c>
      <c r="M614" s="10">
        <v>1400</v>
      </c>
      <c r="N614" s="10">
        <v>2.61</v>
      </c>
      <c r="O614" s="10">
        <v>40</v>
      </c>
      <c r="P614" s="10">
        <v>1</v>
      </c>
      <c r="S614" s="10">
        <v>1841</v>
      </c>
      <c r="T614" s="10">
        <v>1801</v>
      </c>
      <c r="U614" s="10" t="s">
        <v>1518</v>
      </c>
    </row>
    <row r="615" spans="1:21" ht="15" x14ac:dyDescent="0.35">
      <c r="A615" s="10">
        <v>745</v>
      </c>
      <c r="C615" s="10" t="s">
        <v>1352</v>
      </c>
      <c r="D615" s="10" t="s">
        <v>1323</v>
      </c>
      <c r="E615" s="10" t="s">
        <v>1336</v>
      </c>
      <c r="J615" s="10" t="s">
        <v>1339</v>
      </c>
      <c r="K615" s="10">
        <v>1700</v>
      </c>
      <c r="L615" s="10">
        <v>1100</v>
      </c>
      <c r="M615" s="10">
        <v>1400</v>
      </c>
      <c r="N615" s="10">
        <v>2.61</v>
      </c>
      <c r="O615" s="10">
        <v>40</v>
      </c>
      <c r="P615" s="10">
        <v>1</v>
      </c>
      <c r="S615" s="10">
        <v>1890</v>
      </c>
      <c r="T615" s="10">
        <v>1850</v>
      </c>
      <c r="U615" s="10" t="s">
        <v>1518</v>
      </c>
    </row>
    <row r="616" spans="1:21" ht="15" x14ac:dyDescent="0.35">
      <c r="A616" s="10">
        <v>746</v>
      </c>
      <c r="C616" s="10" t="s">
        <v>1352</v>
      </c>
      <c r="D616" s="10" t="s">
        <v>1323</v>
      </c>
      <c r="E616" s="10" t="s">
        <v>1336</v>
      </c>
      <c r="J616" s="10" t="s">
        <v>1339</v>
      </c>
      <c r="K616" s="10">
        <v>1700</v>
      </c>
      <c r="L616" s="10">
        <v>1100</v>
      </c>
      <c r="M616" s="10">
        <v>1400</v>
      </c>
      <c r="N616" s="10">
        <v>2.62</v>
      </c>
      <c r="O616" s="10">
        <v>40</v>
      </c>
      <c r="P616" s="10">
        <v>1</v>
      </c>
      <c r="S616" s="10">
        <v>1890</v>
      </c>
      <c r="T616" s="10">
        <v>1850</v>
      </c>
      <c r="U616" s="10" t="s">
        <v>1518</v>
      </c>
    </row>
    <row r="617" spans="1:21" ht="15" x14ac:dyDescent="0.35">
      <c r="A617" s="10">
        <v>747</v>
      </c>
      <c r="C617" s="10" t="s">
        <v>1353</v>
      </c>
      <c r="D617" s="10" t="s">
        <v>1323</v>
      </c>
      <c r="E617" s="10" t="s">
        <v>1336</v>
      </c>
      <c r="J617" s="10" t="s">
        <v>1339</v>
      </c>
      <c r="K617" s="10">
        <v>1700</v>
      </c>
      <c r="L617" s="10">
        <v>1100</v>
      </c>
      <c r="M617" s="10">
        <v>1400</v>
      </c>
      <c r="N617" s="10">
        <v>2.61</v>
      </c>
      <c r="O617" s="10">
        <v>40</v>
      </c>
      <c r="P617" s="10">
        <v>1</v>
      </c>
      <c r="S617" s="10">
        <v>1689</v>
      </c>
      <c r="T617" s="10">
        <v>1649</v>
      </c>
      <c r="U617" s="10" t="s">
        <v>1518</v>
      </c>
    </row>
    <row r="618" spans="1:21" ht="15" x14ac:dyDescent="0.35">
      <c r="A618" s="10">
        <v>760</v>
      </c>
      <c r="C618" s="10" t="s">
        <v>1354</v>
      </c>
      <c r="D618" s="10" t="s">
        <v>1355</v>
      </c>
      <c r="E618" s="10" t="s">
        <v>1356</v>
      </c>
      <c r="J618" s="10" t="s">
        <v>1357</v>
      </c>
      <c r="K618" s="10">
        <v>1780</v>
      </c>
      <c r="L618" s="10">
        <v>915</v>
      </c>
      <c r="M618" s="10">
        <v>1120</v>
      </c>
      <c r="N618" s="10">
        <v>1.82</v>
      </c>
      <c r="O618" s="10">
        <v>67</v>
      </c>
      <c r="P618" s="10">
        <v>1</v>
      </c>
      <c r="S618" s="10">
        <v>2188</v>
      </c>
      <c r="T618" s="10">
        <v>2121</v>
      </c>
      <c r="U618" s="10" t="s">
        <v>1518</v>
      </c>
    </row>
    <row r="619" spans="1:21" ht="15" x14ac:dyDescent="0.35">
      <c r="A619" s="10">
        <v>761</v>
      </c>
      <c r="C619" s="10" t="s">
        <v>1358</v>
      </c>
      <c r="D619" s="10" t="s">
        <v>1355</v>
      </c>
      <c r="E619" s="10" t="s">
        <v>1356</v>
      </c>
      <c r="J619" s="10" t="s">
        <v>1357</v>
      </c>
      <c r="K619" s="10">
        <v>1780</v>
      </c>
      <c r="L619" s="10">
        <v>915</v>
      </c>
      <c r="M619" s="10">
        <v>1120</v>
      </c>
      <c r="N619" s="10">
        <v>1.82</v>
      </c>
      <c r="O619" s="10">
        <v>67</v>
      </c>
      <c r="P619" s="10">
        <v>1</v>
      </c>
      <c r="S619" s="10">
        <v>2509</v>
      </c>
      <c r="T619" s="10">
        <v>2442</v>
      </c>
      <c r="U619" s="10" t="s">
        <v>1518</v>
      </c>
    </row>
    <row r="620" spans="1:21" ht="15" x14ac:dyDescent="0.35">
      <c r="A620" s="10">
        <v>762</v>
      </c>
      <c r="C620" s="10" t="s">
        <v>1359</v>
      </c>
      <c r="D620" s="10" t="s">
        <v>1355</v>
      </c>
      <c r="E620" s="10" t="s">
        <v>1355</v>
      </c>
      <c r="J620" s="10" t="s">
        <v>1357</v>
      </c>
      <c r="K620" s="10">
        <v>1780</v>
      </c>
      <c r="L620" s="10">
        <v>915</v>
      </c>
      <c r="M620" s="10">
        <v>1120</v>
      </c>
      <c r="N620" s="10">
        <v>1.82</v>
      </c>
      <c r="O620" s="10">
        <v>67</v>
      </c>
      <c r="P620" s="10">
        <v>1</v>
      </c>
      <c r="S620" s="10">
        <v>2188</v>
      </c>
      <c r="T620" s="10">
        <v>2121</v>
      </c>
      <c r="U620" s="10" t="s">
        <v>1518</v>
      </c>
    </row>
    <row r="621" spans="1:21" ht="15" x14ac:dyDescent="0.35">
      <c r="A621" s="10">
        <v>759</v>
      </c>
      <c r="C621" s="10" t="s">
        <v>1358</v>
      </c>
      <c r="D621" s="10" t="s">
        <v>1355</v>
      </c>
      <c r="E621" s="10" t="s">
        <v>1356</v>
      </c>
      <c r="J621" s="10" t="s">
        <v>1357</v>
      </c>
      <c r="K621" s="10">
        <v>1780</v>
      </c>
      <c r="L621" s="10">
        <v>915</v>
      </c>
      <c r="M621" s="10">
        <v>1120</v>
      </c>
      <c r="N621" s="10">
        <v>1.82</v>
      </c>
      <c r="O621" s="10">
        <v>21</v>
      </c>
      <c r="P621" s="10">
        <v>1</v>
      </c>
      <c r="S621" s="10">
        <v>2530</v>
      </c>
      <c r="T621" s="10">
        <v>2442</v>
      </c>
      <c r="U621" s="10" t="s">
        <v>1517</v>
      </c>
    </row>
    <row r="622" spans="1:21" ht="15" x14ac:dyDescent="0.35">
      <c r="A622" s="10">
        <v>714</v>
      </c>
      <c r="C622" s="10" t="s">
        <v>1331</v>
      </c>
      <c r="D622" s="10" t="s">
        <v>1323</v>
      </c>
      <c r="E622" s="10" t="s">
        <v>1331</v>
      </c>
      <c r="J622" s="10" t="s">
        <v>1360</v>
      </c>
      <c r="K622" s="10">
        <v>1800</v>
      </c>
      <c r="L622" s="10">
        <v>1100</v>
      </c>
      <c r="M622" s="10">
        <v>1240</v>
      </c>
      <c r="N622" s="10">
        <v>2.4500000000000002</v>
      </c>
      <c r="O622" s="10">
        <v>61</v>
      </c>
      <c r="P622" s="10">
        <v>1</v>
      </c>
      <c r="U622" s="10" t="s">
        <v>1516</v>
      </c>
    </row>
    <row r="623" spans="1:21" ht="15" x14ac:dyDescent="0.35">
      <c r="A623" s="10">
        <v>718</v>
      </c>
      <c r="C623" s="10" t="s">
        <v>1361</v>
      </c>
      <c r="D623" s="10" t="s">
        <v>1323</v>
      </c>
      <c r="E623" s="10" t="s">
        <v>1362</v>
      </c>
      <c r="J623" s="10" t="s">
        <v>1363</v>
      </c>
      <c r="K623" s="10">
        <v>1800</v>
      </c>
      <c r="L623" s="10">
        <v>1100</v>
      </c>
      <c r="M623" s="10">
        <v>1280</v>
      </c>
      <c r="N623" s="10">
        <v>2.5299999999999998</v>
      </c>
      <c r="O623" s="10">
        <v>39</v>
      </c>
      <c r="P623" s="10">
        <v>1</v>
      </c>
      <c r="S623" s="10">
        <v>1680</v>
      </c>
      <c r="T623" s="10">
        <v>1641</v>
      </c>
      <c r="U623" s="10" t="s">
        <v>1518</v>
      </c>
    </row>
    <row r="624" spans="1:21" ht="15" x14ac:dyDescent="0.35">
      <c r="A624" s="10">
        <v>720</v>
      </c>
      <c r="C624" s="10" t="s">
        <v>1364</v>
      </c>
      <c r="D624" s="10" t="s">
        <v>1323</v>
      </c>
      <c r="E624" s="10" t="s">
        <v>1362</v>
      </c>
      <c r="J624" s="10" t="s">
        <v>1363</v>
      </c>
      <c r="K624" s="10">
        <v>1800</v>
      </c>
      <c r="L624" s="10">
        <v>1100</v>
      </c>
      <c r="M624" s="10">
        <v>1280</v>
      </c>
      <c r="N624" s="10">
        <v>2.5299999999999998</v>
      </c>
      <c r="O624" s="10">
        <v>39</v>
      </c>
      <c r="P624" s="10">
        <v>1</v>
      </c>
      <c r="S624" s="10">
        <v>1833</v>
      </c>
      <c r="T624" s="10">
        <v>1794</v>
      </c>
      <c r="U624" s="10" t="s">
        <v>1518</v>
      </c>
    </row>
    <row r="625" spans="1:21" ht="15" x14ac:dyDescent="0.35">
      <c r="A625" s="10">
        <v>721</v>
      </c>
      <c r="C625" s="10" t="s">
        <v>1365</v>
      </c>
      <c r="D625" s="10" t="s">
        <v>1323</v>
      </c>
      <c r="E625" s="10" t="s">
        <v>1362</v>
      </c>
      <c r="J625" s="10" t="s">
        <v>1363</v>
      </c>
      <c r="K625" s="10">
        <v>1800</v>
      </c>
      <c r="L625" s="10">
        <v>1100</v>
      </c>
      <c r="M625" s="10">
        <v>1280</v>
      </c>
      <c r="N625" s="10">
        <v>2.5299999999999998</v>
      </c>
      <c r="O625" s="10">
        <v>39</v>
      </c>
      <c r="P625" s="10">
        <v>1</v>
      </c>
      <c r="S625" s="10">
        <v>1882</v>
      </c>
      <c r="T625" s="10">
        <v>1843</v>
      </c>
      <c r="U625" s="10" t="s">
        <v>1518</v>
      </c>
    </row>
    <row r="626" spans="1:21" ht="15" x14ac:dyDescent="0.35">
      <c r="A626" s="10">
        <v>722</v>
      </c>
      <c r="C626" s="10" t="s">
        <v>1365</v>
      </c>
      <c r="D626" s="10" t="s">
        <v>1323</v>
      </c>
      <c r="E626" s="10" t="s">
        <v>1362</v>
      </c>
      <c r="J626" s="10" t="s">
        <v>1363</v>
      </c>
      <c r="K626" s="10">
        <v>1800</v>
      </c>
      <c r="L626" s="10">
        <v>1100</v>
      </c>
      <c r="M626" s="10">
        <v>1280</v>
      </c>
      <c r="N626" s="10">
        <v>2.5299999999999998</v>
      </c>
      <c r="O626" s="10">
        <v>39</v>
      </c>
      <c r="P626" s="10">
        <v>1</v>
      </c>
      <c r="S626" s="10">
        <v>1882</v>
      </c>
      <c r="T626" s="10">
        <v>1843</v>
      </c>
      <c r="U626" s="10" t="s">
        <v>1518</v>
      </c>
    </row>
    <row r="627" spans="1:21" ht="15" x14ac:dyDescent="0.35">
      <c r="A627" s="10">
        <v>756</v>
      </c>
      <c r="C627" s="10" t="s">
        <v>1366</v>
      </c>
      <c r="D627" s="10" t="s">
        <v>1367</v>
      </c>
      <c r="E627" s="10" t="s">
        <v>1368</v>
      </c>
      <c r="J627" s="10" t="s">
        <v>1369</v>
      </c>
      <c r="K627" s="10">
        <v>1800</v>
      </c>
      <c r="L627" s="10">
        <v>1100</v>
      </c>
      <c r="M627" s="10">
        <v>1323</v>
      </c>
      <c r="N627" s="10">
        <v>2.62</v>
      </c>
      <c r="O627" s="10">
        <v>65</v>
      </c>
      <c r="P627" s="10">
        <v>1</v>
      </c>
      <c r="S627" s="10">
        <v>3365</v>
      </c>
      <c r="T627" s="10">
        <v>3300</v>
      </c>
      <c r="U627" s="10" t="s">
        <v>1518</v>
      </c>
    </row>
    <row r="628" spans="1:21" ht="15" x14ac:dyDescent="0.35">
      <c r="A628" s="10">
        <v>757</v>
      </c>
      <c r="C628" s="10" t="s">
        <v>1370</v>
      </c>
      <c r="D628" s="10" t="s">
        <v>1367</v>
      </c>
      <c r="E628" s="10" t="s">
        <v>1368</v>
      </c>
      <c r="J628" s="10" t="s">
        <v>1369</v>
      </c>
      <c r="K628" s="10">
        <v>1800</v>
      </c>
      <c r="L628" s="10">
        <v>1100</v>
      </c>
      <c r="M628" s="10">
        <v>1323</v>
      </c>
      <c r="N628" s="10">
        <v>2.62</v>
      </c>
      <c r="O628" s="10">
        <v>65</v>
      </c>
      <c r="P628" s="10">
        <v>1</v>
      </c>
      <c r="S628" s="10">
        <v>3365</v>
      </c>
      <c r="T628" s="10">
        <v>3300</v>
      </c>
      <c r="U628" s="10" t="s">
        <v>1518</v>
      </c>
    </row>
    <row r="629" spans="1:21" ht="15" x14ac:dyDescent="0.35">
      <c r="A629" s="10">
        <v>758</v>
      </c>
      <c r="C629" s="10" t="s">
        <v>1366</v>
      </c>
      <c r="D629" s="10" t="s">
        <v>1367</v>
      </c>
      <c r="E629" s="10" t="s">
        <v>1368</v>
      </c>
      <c r="J629" s="10" t="s">
        <v>1369</v>
      </c>
      <c r="K629" s="10">
        <v>1800</v>
      </c>
      <c r="L629" s="10">
        <v>1100</v>
      </c>
      <c r="M629" s="10">
        <v>1323</v>
      </c>
      <c r="N629" s="10">
        <v>2.62</v>
      </c>
      <c r="O629" s="10">
        <v>65</v>
      </c>
      <c r="P629" s="10">
        <v>1</v>
      </c>
      <c r="S629" s="10">
        <v>3365</v>
      </c>
      <c r="T629" s="10">
        <v>3300</v>
      </c>
      <c r="U629" s="10" t="s">
        <v>1518</v>
      </c>
    </row>
    <row r="630" spans="1:21" ht="15" x14ac:dyDescent="0.35">
      <c r="A630" s="10">
        <v>749</v>
      </c>
      <c r="C630" s="10" t="s">
        <v>1371</v>
      </c>
      <c r="D630" s="10" t="s">
        <v>1367</v>
      </c>
      <c r="E630" s="10" t="s">
        <v>1368</v>
      </c>
      <c r="J630" s="10" t="s">
        <v>1372</v>
      </c>
      <c r="K630" s="10">
        <v>1800</v>
      </c>
      <c r="L630" s="10">
        <v>1100</v>
      </c>
      <c r="M630" s="10">
        <v>1470</v>
      </c>
      <c r="N630" s="10">
        <v>2.91</v>
      </c>
      <c r="O630" s="10">
        <v>71</v>
      </c>
      <c r="P630" s="10">
        <v>1</v>
      </c>
      <c r="S630" s="10">
        <v>3091</v>
      </c>
      <c r="T630" s="10">
        <v>3020</v>
      </c>
      <c r="U630" s="10" t="s">
        <v>1518</v>
      </c>
    </row>
    <row r="631" spans="1:21" ht="15" x14ac:dyDescent="0.35">
      <c r="A631" s="10">
        <v>750</v>
      </c>
      <c r="C631" s="10" t="s">
        <v>1371</v>
      </c>
      <c r="D631" s="10" t="s">
        <v>1367</v>
      </c>
      <c r="E631" s="10" t="s">
        <v>1368</v>
      </c>
      <c r="J631" s="10" t="s">
        <v>1372</v>
      </c>
      <c r="K631" s="10">
        <v>1800</v>
      </c>
      <c r="L631" s="10">
        <v>1100</v>
      </c>
      <c r="M631" s="10">
        <v>1470</v>
      </c>
      <c r="N631" s="10">
        <v>2.91</v>
      </c>
      <c r="O631" s="10">
        <v>71</v>
      </c>
      <c r="P631" s="10">
        <v>1</v>
      </c>
      <c r="S631" s="10">
        <v>3091</v>
      </c>
      <c r="T631" s="10">
        <v>3020</v>
      </c>
      <c r="U631" s="10" t="s">
        <v>1518</v>
      </c>
    </row>
    <row r="632" spans="1:21" ht="15" x14ac:dyDescent="0.35">
      <c r="A632" s="10">
        <v>751</v>
      </c>
      <c r="C632" s="10" t="s">
        <v>1373</v>
      </c>
      <c r="D632" s="10" t="s">
        <v>1367</v>
      </c>
      <c r="E632" s="10" t="s">
        <v>1368</v>
      </c>
      <c r="J632" s="10" t="s">
        <v>1372</v>
      </c>
      <c r="K632" s="10">
        <v>1800</v>
      </c>
      <c r="L632" s="10">
        <v>1100</v>
      </c>
      <c r="M632" s="10">
        <v>1470</v>
      </c>
      <c r="N632" s="10">
        <v>2.91</v>
      </c>
      <c r="O632" s="10">
        <v>71</v>
      </c>
      <c r="P632" s="10">
        <v>1</v>
      </c>
      <c r="S632" s="10">
        <v>2871</v>
      </c>
      <c r="T632" s="10">
        <v>2800</v>
      </c>
      <c r="U632" s="10" t="s">
        <v>1518</v>
      </c>
    </row>
    <row r="633" spans="1:21" ht="15" x14ac:dyDescent="0.35">
      <c r="A633" s="10">
        <v>752</v>
      </c>
      <c r="C633" s="10" t="s">
        <v>1373</v>
      </c>
      <c r="D633" s="10" t="s">
        <v>1367</v>
      </c>
      <c r="E633" s="10" t="s">
        <v>1368</v>
      </c>
      <c r="J633" s="10" t="s">
        <v>1372</v>
      </c>
      <c r="K633" s="10">
        <v>1800</v>
      </c>
      <c r="L633" s="10">
        <v>1100</v>
      </c>
      <c r="M633" s="10">
        <v>1470</v>
      </c>
      <c r="N633" s="10">
        <v>2.91</v>
      </c>
      <c r="O633" s="10">
        <v>71</v>
      </c>
      <c r="P633" s="10">
        <v>1</v>
      </c>
      <c r="S633" s="10">
        <v>2871</v>
      </c>
      <c r="T633" s="10">
        <v>2800</v>
      </c>
      <c r="U633" s="10" t="s">
        <v>1518</v>
      </c>
    </row>
    <row r="634" spans="1:21" ht="15" x14ac:dyDescent="0.35">
      <c r="A634" s="10">
        <v>753</v>
      </c>
      <c r="C634" s="10" t="s">
        <v>1374</v>
      </c>
      <c r="D634" s="10" t="s">
        <v>1367</v>
      </c>
      <c r="E634" s="10" t="s">
        <v>1368</v>
      </c>
      <c r="J634" s="10" t="s">
        <v>1372</v>
      </c>
      <c r="K634" s="10">
        <v>1800</v>
      </c>
      <c r="L634" s="10">
        <v>1100</v>
      </c>
      <c r="M634" s="10">
        <v>1470</v>
      </c>
      <c r="N634" s="10">
        <v>2.91</v>
      </c>
      <c r="O634" s="10">
        <v>71</v>
      </c>
      <c r="P634" s="10">
        <v>1</v>
      </c>
      <c r="S634" s="10">
        <v>2571</v>
      </c>
      <c r="T634" s="10">
        <v>2500</v>
      </c>
      <c r="U634" s="10" t="s">
        <v>1518</v>
      </c>
    </row>
    <row r="635" spans="1:21" ht="15" x14ac:dyDescent="0.35">
      <c r="A635" s="10">
        <v>754</v>
      </c>
      <c r="C635" s="10" t="s">
        <v>1374</v>
      </c>
      <c r="D635" s="10" t="s">
        <v>1367</v>
      </c>
      <c r="E635" s="10" t="s">
        <v>1368</v>
      </c>
      <c r="J635" s="10" t="s">
        <v>1372</v>
      </c>
      <c r="K635" s="10">
        <v>1800</v>
      </c>
      <c r="L635" s="10">
        <v>1100</v>
      </c>
      <c r="M635" s="10">
        <v>1470</v>
      </c>
      <c r="N635" s="10">
        <v>2.91</v>
      </c>
      <c r="O635" s="10">
        <v>71</v>
      </c>
      <c r="P635" s="10">
        <v>1</v>
      </c>
      <c r="S635" s="10">
        <v>2571</v>
      </c>
      <c r="T635" s="10">
        <v>2500</v>
      </c>
      <c r="U635" s="10" t="s">
        <v>1518</v>
      </c>
    </row>
    <row r="636" spans="1:21" ht="15" x14ac:dyDescent="0.35">
      <c r="A636" s="10">
        <v>755</v>
      </c>
      <c r="C636" s="10" t="s">
        <v>1374</v>
      </c>
      <c r="D636" s="10" t="s">
        <v>1367</v>
      </c>
      <c r="E636" s="10" t="s">
        <v>1368</v>
      </c>
      <c r="J636" s="10" t="s">
        <v>1372</v>
      </c>
      <c r="K636" s="10">
        <v>1800</v>
      </c>
      <c r="L636" s="10">
        <v>1100</v>
      </c>
      <c r="M636" s="10">
        <v>1470</v>
      </c>
      <c r="N636" s="10">
        <v>2.91</v>
      </c>
      <c r="O636" s="10">
        <v>71</v>
      </c>
      <c r="P636" s="10">
        <v>1</v>
      </c>
      <c r="S636" s="10">
        <v>2571</v>
      </c>
      <c r="T636" s="10">
        <v>2500</v>
      </c>
      <c r="U636" s="10" t="s">
        <v>1518</v>
      </c>
    </row>
    <row r="637" spans="1:21" ht="15" x14ac:dyDescent="0.35">
      <c r="A637" s="10">
        <v>716</v>
      </c>
      <c r="C637" s="10" t="s">
        <v>1375</v>
      </c>
      <c r="D637" s="10" t="s">
        <v>1323</v>
      </c>
      <c r="E637" s="10" t="s">
        <v>1362</v>
      </c>
      <c r="J637" s="10" t="s">
        <v>1376</v>
      </c>
      <c r="K637" s="10">
        <v>1850</v>
      </c>
      <c r="L637" s="10">
        <v>1150</v>
      </c>
      <c r="M637" s="10">
        <v>1280</v>
      </c>
      <c r="N637" s="10">
        <v>2.72</v>
      </c>
      <c r="O637" s="10">
        <v>39</v>
      </c>
      <c r="P637" s="10">
        <v>1</v>
      </c>
      <c r="S637" s="10">
        <v>1619</v>
      </c>
      <c r="T637" s="10">
        <v>1580</v>
      </c>
      <c r="U637" s="10" t="s">
        <v>1518</v>
      </c>
    </row>
    <row r="638" spans="1:21" ht="15" x14ac:dyDescent="0.35">
      <c r="A638" s="10">
        <v>717</v>
      </c>
      <c r="C638" s="10" t="s">
        <v>1361</v>
      </c>
      <c r="D638" s="10" t="s">
        <v>1323</v>
      </c>
      <c r="E638" s="10" t="s">
        <v>1362</v>
      </c>
      <c r="J638" s="10" t="s">
        <v>1376</v>
      </c>
      <c r="K638" s="10">
        <v>1850</v>
      </c>
      <c r="L638" s="10">
        <v>1150</v>
      </c>
      <c r="M638" s="10">
        <v>1280</v>
      </c>
      <c r="N638" s="10">
        <v>2.72</v>
      </c>
      <c r="O638" s="10">
        <v>39</v>
      </c>
      <c r="P638" s="10">
        <v>1</v>
      </c>
      <c r="S638" s="10">
        <v>1680</v>
      </c>
      <c r="T638" s="10">
        <v>1641</v>
      </c>
      <c r="U638" s="10" t="s">
        <v>1518</v>
      </c>
    </row>
    <row r="639" spans="1:21" ht="15" x14ac:dyDescent="0.35">
      <c r="A639" s="10">
        <v>719</v>
      </c>
      <c r="C639" s="10" t="s">
        <v>1364</v>
      </c>
      <c r="D639" s="10" t="s">
        <v>1323</v>
      </c>
      <c r="E639" s="10" t="s">
        <v>1362</v>
      </c>
      <c r="J639" s="10" t="s">
        <v>1376</v>
      </c>
      <c r="K639" s="10">
        <v>1850</v>
      </c>
      <c r="L639" s="10">
        <v>1150</v>
      </c>
      <c r="M639" s="10">
        <v>1280</v>
      </c>
      <c r="N639" s="10">
        <v>2.72</v>
      </c>
      <c r="O639" s="10">
        <v>39</v>
      </c>
      <c r="P639" s="10">
        <v>1</v>
      </c>
      <c r="S639" s="10">
        <v>1833</v>
      </c>
      <c r="T639" s="10">
        <v>1794</v>
      </c>
      <c r="U639" s="10" t="s">
        <v>1518</v>
      </c>
    </row>
    <row r="640" spans="1:21" ht="15" x14ac:dyDescent="0.35">
      <c r="A640" s="10">
        <v>748</v>
      </c>
      <c r="C640" s="10" t="s">
        <v>1377</v>
      </c>
      <c r="D640" s="10" t="s">
        <v>1367</v>
      </c>
      <c r="E640" s="10" t="s">
        <v>1377</v>
      </c>
      <c r="J640" s="10" t="s">
        <v>1378</v>
      </c>
      <c r="K640" s="10">
        <v>1904</v>
      </c>
      <c r="L640" s="10">
        <v>1020</v>
      </c>
      <c r="M640" s="10">
        <v>1570</v>
      </c>
      <c r="N640" s="10">
        <v>3.05</v>
      </c>
      <c r="O640" s="10">
        <v>170</v>
      </c>
      <c r="P640" s="10">
        <v>1</v>
      </c>
      <c r="U640" s="10" t="s">
        <v>1516</v>
      </c>
    </row>
    <row r="641" spans="1:21" ht="15" x14ac:dyDescent="0.35">
      <c r="A641" s="10">
        <v>520</v>
      </c>
      <c r="C641" s="10" t="s">
        <v>1215</v>
      </c>
      <c r="D641" s="10" t="s">
        <v>1105</v>
      </c>
      <c r="E641" s="10" t="s">
        <v>1215</v>
      </c>
      <c r="J641" s="10" t="s">
        <v>1379</v>
      </c>
      <c r="K641" s="10">
        <v>650</v>
      </c>
      <c r="L641" s="10">
        <v>550</v>
      </c>
      <c r="M641" s="10">
        <v>679</v>
      </c>
      <c r="N641" s="10">
        <v>0.24</v>
      </c>
      <c r="O641" s="10">
        <v>14</v>
      </c>
      <c r="P641" s="10">
        <v>1</v>
      </c>
      <c r="S641" s="10">
        <v>87</v>
      </c>
      <c r="T641" s="10">
        <v>73</v>
      </c>
      <c r="U641" s="10" t="s">
        <v>1516</v>
      </c>
    </row>
    <row r="642" spans="1:21" ht="15" x14ac:dyDescent="0.35">
      <c r="A642" s="10">
        <v>580</v>
      </c>
      <c r="C642" s="10" t="s">
        <v>1159</v>
      </c>
      <c r="D642" s="10" t="s">
        <v>1123</v>
      </c>
      <c r="E642" s="10" t="s">
        <v>1159</v>
      </c>
      <c r="J642" s="10" t="s">
        <v>1380</v>
      </c>
      <c r="K642" s="10">
        <v>850</v>
      </c>
      <c r="L642" s="10">
        <v>595</v>
      </c>
      <c r="M642" s="10">
        <v>763</v>
      </c>
      <c r="N642" s="10">
        <v>0.38</v>
      </c>
      <c r="O642" s="10">
        <v>22.62</v>
      </c>
      <c r="P642" s="10">
        <v>1</v>
      </c>
      <c r="T642" s="10" t="s">
        <v>1381</v>
      </c>
      <c r="U642" s="10" t="s">
        <v>1516</v>
      </c>
    </row>
    <row r="643" spans="1:21" ht="15" x14ac:dyDescent="0.35">
      <c r="A643" s="10">
        <v>555</v>
      </c>
      <c r="C643" s="10" t="s">
        <v>1126</v>
      </c>
      <c r="D643" s="10" t="s">
        <v>1123</v>
      </c>
      <c r="E643" s="10" t="s">
        <v>1127</v>
      </c>
      <c r="J643" s="10" t="s">
        <v>1382</v>
      </c>
      <c r="K643" s="10">
        <v>870</v>
      </c>
      <c r="L643" s="10">
        <v>550</v>
      </c>
      <c r="M643" s="10">
        <v>720</v>
      </c>
      <c r="N643" s="10">
        <v>0.34</v>
      </c>
      <c r="O643" s="10">
        <v>2</v>
      </c>
      <c r="P643" s="10">
        <v>1</v>
      </c>
      <c r="S643" s="10">
        <v>148</v>
      </c>
      <c r="T643" s="10">
        <v>133</v>
      </c>
      <c r="U643" s="10" t="s">
        <v>1517</v>
      </c>
    </row>
    <row r="644" spans="1:21" ht="15" x14ac:dyDescent="0.35">
      <c r="A644" s="10">
        <v>556</v>
      </c>
      <c r="C644" s="10" t="s">
        <v>1383</v>
      </c>
      <c r="D644" s="10" t="s">
        <v>1123</v>
      </c>
      <c r="E644" s="10" t="s">
        <v>1127</v>
      </c>
      <c r="J644" s="10" t="s">
        <v>1382</v>
      </c>
      <c r="K644" s="10">
        <v>870</v>
      </c>
      <c r="L644" s="10">
        <v>550</v>
      </c>
      <c r="M644" s="10">
        <v>720</v>
      </c>
      <c r="N644" s="10">
        <v>0.34</v>
      </c>
      <c r="O644" s="10">
        <v>2</v>
      </c>
      <c r="P644" s="10">
        <v>1</v>
      </c>
      <c r="S644" s="10">
        <v>180</v>
      </c>
      <c r="T644" s="10">
        <v>165</v>
      </c>
      <c r="U644" s="10" t="s">
        <v>1517</v>
      </c>
    </row>
    <row r="645" spans="1:21" ht="15" x14ac:dyDescent="0.35">
      <c r="A645" s="10">
        <v>557</v>
      </c>
      <c r="C645" s="10" t="s">
        <v>1129</v>
      </c>
      <c r="D645" s="10" t="s">
        <v>1123</v>
      </c>
      <c r="E645" s="10" t="s">
        <v>1127</v>
      </c>
      <c r="J645" s="10" t="s">
        <v>1382</v>
      </c>
      <c r="K645" s="10">
        <v>870</v>
      </c>
      <c r="L645" s="10">
        <v>550</v>
      </c>
      <c r="M645" s="10">
        <v>720</v>
      </c>
      <c r="N645" s="10">
        <v>0.34</v>
      </c>
      <c r="O645" s="10">
        <v>2</v>
      </c>
      <c r="P645" s="10">
        <v>1</v>
      </c>
      <c r="S645" s="10">
        <v>196</v>
      </c>
      <c r="T645" s="10">
        <v>181</v>
      </c>
      <c r="U645" s="10" t="s">
        <v>1517</v>
      </c>
    </row>
    <row r="646" spans="1:21" ht="15" x14ac:dyDescent="0.35">
      <c r="A646" s="10">
        <v>558</v>
      </c>
      <c r="C646" s="10" t="s">
        <v>1384</v>
      </c>
      <c r="D646" s="10" t="s">
        <v>1123</v>
      </c>
      <c r="E646" s="10" t="s">
        <v>1127</v>
      </c>
      <c r="J646" s="10" t="s">
        <v>1382</v>
      </c>
      <c r="K646" s="10">
        <v>870</v>
      </c>
      <c r="L646" s="10">
        <v>550</v>
      </c>
      <c r="M646" s="10">
        <v>720</v>
      </c>
      <c r="N646" s="10">
        <v>0.34</v>
      </c>
      <c r="O646" s="10">
        <v>2</v>
      </c>
      <c r="P646" s="10">
        <v>1</v>
      </c>
      <c r="S646" s="10">
        <v>201</v>
      </c>
      <c r="T646" s="10">
        <v>186</v>
      </c>
      <c r="U646" s="10" t="s">
        <v>1517</v>
      </c>
    </row>
    <row r="647" spans="1:21" ht="15" x14ac:dyDescent="0.35">
      <c r="A647" s="10">
        <v>559</v>
      </c>
      <c r="C647" s="10" t="s">
        <v>1130</v>
      </c>
      <c r="D647" s="10" t="s">
        <v>1123</v>
      </c>
      <c r="E647" s="10" t="s">
        <v>1127</v>
      </c>
      <c r="J647" s="10" t="s">
        <v>1382</v>
      </c>
      <c r="K647" s="10">
        <v>870</v>
      </c>
      <c r="L647" s="10">
        <v>550</v>
      </c>
      <c r="M647" s="10">
        <v>720</v>
      </c>
      <c r="N647" s="10">
        <v>0.34</v>
      </c>
      <c r="O647" s="10">
        <v>2</v>
      </c>
      <c r="P647" s="10">
        <v>1</v>
      </c>
      <c r="S647" s="10">
        <v>180</v>
      </c>
      <c r="T647" s="10">
        <v>165</v>
      </c>
      <c r="U647" s="10" t="s">
        <v>1517</v>
      </c>
    </row>
    <row r="648" spans="1:21" ht="15" x14ac:dyDescent="0.35">
      <c r="A648" s="10">
        <v>560</v>
      </c>
      <c r="C648" s="10" t="s">
        <v>1130</v>
      </c>
      <c r="D648" s="10" t="s">
        <v>1123</v>
      </c>
      <c r="E648" s="10" t="s">
        <v>1127</v>
      </c>
      <c r="J648" s="10" t="s">
        <v>1382</v>
      </c>
      <c r="K648" s="10">
        <v>870</v>
      </c>
      <c r="L648" s="10">
        <v>550</v>
      </c>
      <c r="M648" s="10">
        <v>720</v>
      </c>
      <c r="N648" s="10">
        <v>0.34</v>
      </c>
      <c r="O648" s="10">
        <v>2</v>
      </c>
      <c r="P648" s="10">
        <v>1</v>
      </c>
      <c r="S648" s="10">
        <v>201</v>
      </c>
      <c r="T648" s="10">
        <v>186</v>
      </c>
      <c r="U648" s="10" t="s">
        <v>1517</v>
      </c>
    </row>
    <row r="649" spans="1:21" ht="15" x14ac:dyDescent="0.35">
      <c r="A649" s="10">
        <v>561</v>
      </c>
      <c r="C649" s="10" t="s">
        <v>1385</v>
      </c>
      <c r="D649" s="10" t="s">
        <v>1123</v>
      </c>
      <c r="E649" s="10" t="s">
        <v>1386</v>
      </c>
      <c r="J649" s="10" t="s">
        <v>1382</v>
      </c>
      <c r="K649" s="10">
        <v>870</v>
      </c>
      <c r="L649" s="10">
        <v>550</v>
      </c>
      <c r="M649" s="10">
        <v>720</v>
      </c>
      <c r="N649" s="10">
        <v>0.34</v>
      </c>
      <c r="O649" s="10">
        <v>2</v>
      </c>
      <c r="P649" s="10">
        <v>1</v>
      </c>
      <c r="S649" s="10">
        <v>148</v>
      </c>
      <c r="T649" s="10">
        <v>133</v>
      </c>
      <c r="U649" s="10" t="s">
        <v>1517</v>
      </c>
    </row>
    <row r="650" spans="1:21" ht="15" x14ac:dyDescent="0.35">
      <c r="A650" s="10">
        <v>562</v>
      </c>
      <c r="C650" s="10" t="s">
        <v>1533</v>
      </c>
      <c r="D650" s="10" t="s">
        <v>1123</v>
      </c>
      <c r="E650" s="10" t="s">
        <v>1386</v>
      </c>
      <c r="J650" s="10" t="s">
        <v>1382</v>
      </c>
      <c r="K650" s="10">
        <v>870</v>
      </c>
      <c r="L650" s="10">
        <v>550</v>
      </c>
      <c r="M650" s="10">
        <v>720</v>
      </c>
      <c r="N650" s="10">
        <v>0.34</v>
      </c>
      <c r="O650" s="10">
        <v>2</v>
      </c>
      <c r="P650" s="10">
        <v>1</v>
      </c>
      <c r="S650" s="10">
        <v>186</v>
      </c>
      <c r="T650" s="10">
        <v>171</v>
      </c>
      <c r="U650" s="10" t="s">
        <v>1517</v>
      </c>
    </row>
    <row r="651" spans="1:21" ht="15" x14ac:dyDescent="0.35">
      <c r="A651" s="10">
        <v>563</v>
      </c>
      <c r="C651" s="10" t="s">
        <v>1387</v>
      </c>
      <c r="D651" s="10" t="s">
        <v>1123</v>
      </c>
      <c r="E651" s="10" t="s">
        <v>1386</v>
      </c>
      <c r="J651" s="10" t="s">
        <v>1382</v>
      </c>
      <c r="K651" s="10">
        <v>870</v>
      </c>
      <c r="L651" s="10">
        <v>550</v>
      </c>
      <c r="M651" s="10">
        <v>720</v>
      </c>
      <c r="N651" s="10">
        <v>0.34</v>
      </c>
      <c r="O651" s="10">
        <v>2</v>
      </c>
      <c r="P651" s="10">
        <v>1</v>
      </c>
      <c r="S651" s="10">
        <v>191</v>
      </c>
      <c r="T651" s="10">
        <v>176</v>
      </c>
      <c r="U651" s="10" t="s">
        <v>1517</v>
      </c>
    </row>
    <row r="652" spans="1:21" ht="15" x14ac:dyDescent="0.35">
      <c r="A652" s="10">
        <v>564</v>
      </c>
      <c r="C652" s="10" t="s">
        <v>1388</v>
      </c>
      <c r="D652" s="10" t="s">
        <v>1123</v>
      </c>
      <c r="E652" s="10" t="s">
        <v>1386</v>
      </c>
      <c r="J652" s="10" t="s">
        <v>1382</v>
      </c>
      <c r="K652" s="10">
        <v>870</v>
      </c>
      <c r="L652" s="10">
        <v>550</v>
      </c>
      <c r="M652" s="10">
        <v>720</v>
      </c>
      <c r="N652" s="10">
        <v>0.34</v>
      </c>
      <c r="O652" s="10">
        <v>2</v>
      </c>
      <c r="P652" s="10">
        <v>1</v>
      </c>
      <c r="S652" s="10">
        <v>202</v>
      </c>
      <c r="T652" s="10">
        <v>187</v>
      </c>
      <c r="U652" s="10" t="s">
        <v>1517</v>
      </c>
    </row>
    <row r="653" spans="1:21" ht="15" x14ac:dyDescent="0.35">
      <c r="A653" s="10">
        <v>565</v>
      </c>
      <c r="C653" s="10" t="s">
        <v>1389</v>
      </c>
      <c r="D653" s="10" t="s">
        <v>1123</v>
      </c>
      <c r="E653" s="10" t="s">
        <v>1390</v>
      </c>
      <c r="J653" s="10" t="s">
        <v>1382</v>
      </c>
      <c r="K653" s="10">
        <v>870</v>
      </c>
      <c r="L653" s="10">
        <v>550</v>
      </c>
      <c r="M653" s="10">
        <v>720</v>
      </c>
      <c r="N653" s="10">
        <v>0.34</v>
      </c>
      <c r="O653" s="10">
        <v>2</v>
      </c>
      <c r="P653" s="10">
        <v>1</v>
      </c>
      <c r="S653" s="10">
        <v>171</v>
      </c>
      <c r="T653" s="10">
        <v>156</v>
      </c>
      <c r="U653" s="10" t="s">
        <v>1517</v>
      </c>
    </row>
    <row r="654" spans="1:21" ht="15" x14ac:dyDescent="0.35">
      <c r="A654" s="10">
        <v>566</v>
      </c>
      <c r="C654" s="10" t="s">
        <v>1391</v>
      </c>
      <c r="D654" s="10" t="s">
        <v>1123</v>
      </c>
      <c r="E654" s="10" t="s">
        <v>1390</v>
      </c>
      <c r="J654" s="10" t="s">
        <v>1382</v>
      </c>
      <c r="K654" s="10">
        <v>870</v>
      </c>
      <c r="L654" s="10">
        <v>550</v>
      </c>
      <c r="M654" s="10">
        <v>720</v>
      </c>
      <c r="N654" s="10">
        <v>0.34</v>
      </c>
      <c r="O654" s="10">
        <v>2</v>
      </c>
      <c r="P654" s="10">
        <v>1</v>
      </c>
      <c r="S654" s="10">
        <v>202</v>
      </c>
      <c r="T654" s="10">
        <v>187</v>
      </c>
      <c r="U654" s="10" t="s">
        <v>1517</v>
      </c>
    </row>
    <row r="655" spans="1:21" ht="15" x14ac:dyDescent="0.35">
      <c r="A655" s="10">
        <v>567</v>
      </c>
      <c r="C655" s="10" t="s">
        <v>1392</v>
      </c>
      <c r="D655" s="10" t="s">
        <v>1123</v>
      </c>
      <c r="E655" s="10" t="s">
        <v>1393</v>
      </c>
      <c r="J655" s="10" t="s">
        <v>1382</v>
      </c>
      <c r="K655" s="10">
        <v>870</v>
      </c>
      <c r="L655" s="10">
        <v>550</v>
      </c>
      <c r="M655" s="10">
        <v>720</v>
      </c>
      <c r="N655" s="10">
        <v>0.34</v>
      </c>
      <c r="O655" s="10">
        <v>2</v>
      </c>
      <c r="P655" s="10">
        <v>1</v>
      </c>
      <c r="S655" s="10">
        <v>148</v>
      </c>
      <c r="T655" s="10">
        <v>133</v>
      </c>
      <c r="U655" s="10" t="s">
        <v>1517</v>
      </c>
    </row>
    <row r="656" spans="1:21" ht="15" x14ac:dyDescent="0.35">
      <c r="A656" s="10">
        <v>568</v>
      </c>
      <c r="C656" s="10" t="s">
        <v>1394</v>
      </c>
      <c r="D656" s="10" t="s">
        <v>1123</v>
      </c>
      <c r="E656" s="10" t="s">
        <v>1393</v>
      </c>
      <c r="J656" s="10" t="s">
        <v>1382</v>
      </c>
      <c r="K656" s="10">
        <v>870</v>
      </c>
      <c r="L656" s="10">
        <v>550</v>
      </c>
      <c r="M656" s="10">
        <v>720</v>
      </c>
      <c r="N656" s="10">
        <v>0.34</v>
      </c>
      <c r="O656" s="10">
        <v>2</v>
      </c>
      <c r="P656" s="10">
        <v>1</v>
      </c>
      <c r="S656" s="10">
        <v>186</v>
      </c>
      <c r="T656" s="10">
        <v>171</v>
      </c>
      <c r="U656" s="10" t="s">
        <v>1517</v>
      </c>
    </row>
    <row r="657" spans="1:21" ht="15" x14ac:dyDescent="0.35">
      <c r="A657" s="10">
        <v>569</v>
      </c>
      <c r="C657" s="10" t="s">
        <v>1395</v>
      </c>
      <c r="D657" s="10" t="s">
        <v>1123</v>
      </c>
      <c r="E657" s="10" t="s">
        <v>1393</v>
      </c>
      <c r="J657" s="10" t="s">
        <v>1382</v>
      </c>
      <c r="K657" s="10">
        <v>870</v>
      </c>
      <c r="L657" s="10">
        <v>550</v>
      </c>
      <c r="M657" s="10">
        <v>720</v>
      </c>
      <c r="N657" s="10">
        <v>0.34</v>
      </c>
      <c r="O657" s="10">
        <v>2</v>
      </c>
      <c r="P657" s="10">
        <v>1</v>
      </c>
      <c r="S657" s="10">
        <v>201</v>
      </c>
      <c r="T657" s="10">
        <v>176</v>
      </c>
      <c r="U657" s="10" t="s">
        <v>1517</v>
      </c>
    </row>
    <row r="658" spans="1:21" ht="15" x14ac:dyDescent="0.35">
      <c r="A658" s="10">
        <v>570</v>
      </c>
      <c r="C658" s="10" t="s">
        <v>1396</v>
      </c>
      <c r="D658" s="10" t="s">
        <v>1123</v>
      </c>
      <c r="E658" s="10" t="s">
        <v>1393</v>
      </c>
      <c r="J658" s="10" t="s">
        <v>1382</v>
      </c>
      <c r="K658" s="10">
        <v>870</v>
      </c>
      <c r="L658" s="10">
        <v>550</v>
      </c>
      <c r="M658" s="10">
        <v>720</v>
      </c>
      <c r="N658" s="10">
        <v>0.34</v>
      </c>
      <c r="O658" s="10">
        <v>2</v>
      </c>
      <c r="P658" s="10">
        <v>1</v>
      </c>
      <c r="S658" s="10">
        <v>202</v>
      </c>
      <c r="T658" s="10">
        <v>187</v>
      </c>
      <c r="U658" s="10" t="s">
        <v>1517</v>
      </c>
    </row>
    <row r="659" spans="1:21" ht="15" x14ac:dyDescent="0.35">
      <c r="A659" s="10">
        <v>571</v>
      </c>
      <c r="C659" s="10" t="s">
        <v>1397</v>
      </c>
      <c r="D659" s="10" t="s">
        <v>1123</v>
      </c>
      <c r="E659" s="10" t="s">
        <v>1398</v>
      </c>
      <c r="J659" s="10" t="s">
        <v>1382</v>
      </c>
      <c r="K659" s="10">
        <v>870</v>
      </c>
      <c r="L659" s="10">
        <v>550</v>
      </c>
      <c r="M659" s="10">
        <v>720</v>
      </c>
      <c r="N659" s="10">
        <v>0.34</v>
      </c>
      <c r="O659" s="10">
        <v>2</v>
      </c>
      <c r="P659" s="10">
        <v>1</v>
      </c>
      <c r="S659" s="10">
        <v>136</v>
      </c>
      <c r="T659" s="10">
        <v>121</v>
      </c>
      <c r="U659" s="10" t="s">
        <v>1517</v>
      </c>
    </row>
    <row r="660" spans="1:21" ht="15" x14ac:dyDescent="0.35">
      <c r="A660" s="10">
        <v>572</v>
      </c>
      <c r="C660" s="10" t="s">
        <v>1399</v>
      </c>
      <c r="D660" s="10" t="s">
        <v>1123</v>
      </c>
      <c r="E660" s="10" t="s">
        <v>1398</v>
      </c>
      <c r="J660" s="10" t="s">
        <v>1382</v>
      </c>
      <c r="K660" s="10">
        <v>870</v>
      </c>
      <c r="L660" s="10">
        <v>550</v>
      </c>
      <c r="M660" s="10">
        <v>720</v>
      </c>
      <c r="N660" s="10">
        <v>0.34</v>
      </c>
      <c r="O660" s="10">
        <v>2</v>
      </c>
      <c r="P660" s="10">
        <v>1</v>
      </c>
      <c r="S660" s="10">
        <v>171</v>
      </c>
      <c r="T660" s="10">
        <v>156</v>
      </c>
      <c r="U660" s="10" t="s">
        <v>1517</v>
      </c>
    </row>
    <row r="661" spans="1:21" ht="15" x14ac:dyDescent="0.35">
      <c r="A661" s="10">
        <v>573</v>
      </c>
      <c r="C661" s="10" t="s">
        <v>1400</v>
      </c>
      <c r="D661" s="10" t="s">
        <v>1123</v>
      </c>
      <c r="E661" s="10" t="s">
        <v>1398</v>
      </c>
      <c r="J661" s="10" t="s">
        <v>1382</v>
      </c>
      <c r="K661" s="10">
        <v>870</v>
      </c>
      <c r="L661" s="10">
        <v>550</v>
      </c>
      <c r="M661" s="10">
        <v>720</v>
      </c>
      <c r="N661" s="10">
        <v>0.34</v>
      </c>
      <c r="O661" s="10">
        <v>2</v>
      </c>
      <c r="P661" s="10">
        <v>1</v>
      </c>
      <c r="S661" s="10">
        <v>201</v>
      </c>
      <c r="T661" s="10">
        <v>187</v>
      </c>
      <c r="U661" s="10" t="s">
        <v>1517</v>
      </c>
    </row>
    <row r="662" spans="1:21" ht="15" x14ac:dyDescent="0.35">
      <c r="A662" s="10">
        <v>574</v>
      </c>
      <c r="C662" s="10" t="s">
        <v>1131</v>
      </c>
      <c r="D662" s="10" t="s">
        <v>1123</v>
      </c>
      <c r="E662" s="10" t="s">
        <v>1124</v>
      </c>
      <c r="J662" s="10" t="s">
        <v>1382</v>
      </c>
      <c r="K662" s="10">
        <v>870</v>
      </c>
      <c r="L662" s="10">
        <v>550</v>
      </c>
      <c r="M662" s="10">
        <v>720</v>
      </c>
      <c r="N662" s="10">
        <v>0.34</v>
      </c>
      <c r="O662" s="10">
        <v>2</v>
      </c>
      <c r="P662" s="10">
        <v>1</v>
      </c>
      <c r="S662" s="10">
        <v>148</v>
      </c>
      <c r="T662" s="10">
        <v>133</v>
      </c>
      <c r="U662" s="10" t="s">
        <v>1517</v>
      </c>
    </row>
    <row r="663" spans="1:21" ht="15" x14ac:dyDescent="0.35">
      <c r="A663" s="10">
        <v>575</v>
      </c>
      <c r="C663" s="10" t="s">
        <v>1132</v>
      </c>
      <c r="D663" s="10" t="s">
        <v>1123</v>
      </c>
      <c r="E663" s="10" t="s">
        <v>1124</v>
      </c>
      <c r="J663" s="10" t="s">
        <v>1382</v>
      </c>
      <c r="K663" s="10">
        <v>870</v>
      </c>
      <c r="L663" s="10">
        <v>550</v>
      </c>
      <c r="M663" s="10">
        <v>720</v>
      </c>
      <c r="N663" s="10">
        <v>0.34</v>
      </c>
      <c r="O663" s="10">
        <v>2</v>
      </c>
      <c r="P663" s="10">
        <v>1</v>
      </c>
      <c r="S663" s="10">
        <v>180</v>
      </c>
      <c r="T663" s="10">
        <v>165</v>
      </c>
      <c r="U663" s="10" t="s">
        <v>1517</v>
      </c>
    </row>
    <row r="664" spans="1:21" ht="15" x14ac:dyDescent="0.35">
      <c r="A664" s="10">
        <v>576</v>
      </c>
      <c r="C664" s="10" t="s">
        <v>1401</v>
      </c>
      <c r="D664" s="10" t="s">
        <v>1123</v>
      </c>
      <c r="E664" s="10" t="s">
        <v>1124</v>
      </c>
      <c r="J664" s="10" t="s">
        <v>1382</v>
      </c>
      <c r="K664" s="10">
        <v>870</v>
      </c>
      <c r="L664" s="10">
        <v>550</v>
      </c>
      <c r="M664" s="10">
        <v>720</v>
      </c>
      <c r="N664" s="10">
        <v>0.34</v>
      </c>
      <c r="O664" s="10">
        <v>2</v>
      </c>
      <c r="P664" s="10">
        <v>1</v>
      </c>
      <c r="S664" s="10">
        <v>241</v>
      </c>
      <c r="T664" s="10">
        <v>165</v>
      </c>
      <c r="U664" s="10" t="s">
        <v>1517</v>
      </c>
    </row>
    <row r="665" spans="1:21" ht="15" x14ac:dyDescent="0.35">
      <c r="A665" s="10">
        <v>577</v>
      </c>
      <c r="C665" s="10" t="s">
        <v>1133</v>
      </c>
      <c r="D665" s="10" t="s">
        <v>1123</v>
      </c>
      <c r="E665" s="10" t="s">
        <v>1124</v>
      </c>
      <c r="J665" s="10" t="s">
        <v>1382</v>
      </c>
      <c r="K665" s="10">
        <v>870</v>
      </c>
      <c r="L665" s="10">
        <v>550</v>
      </c>
      <c r="M665" s="10">
        <v>720</v>
      </c>
      <c r="N665" s="10">
        <v>0.34</v>
      </c>
      <c r="O665" s="10">
        <v>2</v>
      </c>
      <c r="P665" s="10">
        <v>1</v>
      </c>
      <c r="S665" s="10">
        <v>196</v>
      </c>
      <c r="T665" s="10">
        <v>181</v>
      </c>
      <c r="U665" s="10" t="s">
        <v>1517</v>
      </c>
    </row>
    <row r="666" spans="1:21" ht="15" x14ac:dyDescent="0.35">
      <c r="A666" s="10">
        <v>578</v>
      </c>
      <c r="C666" s="10" t="s">
        <v>1134</v>
      </c>
      <c r="D666" s="10" t="s">
        <v>1123</v>
      </c>
      <c r="E666" s="10" t="s">
        <v>1124</v>
      </c>
      <c r="J666" s="10" t="s">
        <v>1382</v>
      </c>
      <c r="K666" s="10">
        <v>870</v>
      </c>
      <c r="L666" s="10">
        <v>550</v>
      </c>
      <c r="M666" s="10">
        <v>720</v>
      </c>
      <c r="N666" s="10">
        <v>0.34</v>
      </c>
      <c r="O666" s="10">
        <v>2</v>
      </c>
      <c r="P666" s="10">
        <v>1</v>
      </c>
      <c r="S666" s="10">
        <v>201</v>
      </c>
      <c r="T666" s="10">
        <v>186</v>
      </c>
      <c r="U666" s="10" t="s">
        <v>1517</v>
      </c>
    </row>
    <row r="667" spans="1:21" ht="15" x14ac:dyDescent="0.35">
      <c r="A667" s="10">
        <v>579</v>
      </c>
      <c r="C667" s="10" t="s">
        <v>1534</v>
      </c>
      <c r="D667" s="10" t="s">
        <v>1123</v>
      </c>
      <c r="E667" s="10" t="s">
        <v>1124</v>
      </c>
      <c r="J667" s="10" t="s">
        <v>1382</v>
      </c>
      <c r="K667" s="10">
        <v>870</v>
      </c>
      <c r="L667" s="10">
        <v>550</v>
      </c>
      <c r="M667" s="10">
        <v>720</v>
      </c>
      <c r="N667" s="10">
        <v>0.34</v>
      </c>
      <c r="O667" s="10">
        <v>2</v>
      </c>
      <c r="P667" s="10">
        <v>1</v>
      </c>
      <c r="S667" s="10">
        <v>201</v>
      </c>
      <c r="T667" s="10">
        <v>186</v>
      </c>
      <c r="U667" s="10" t="s">
        <v>1517</v>
      </c>
    </row>
  </sheetData>
  <autoFilter ref="A1:X667" xr:uid="{EF5F9BB3-A0E8-4979-8AD6-6E2E6D42F529}"/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B7B2-241B-4D70-81FB-8319FE2AC093}">
  <sheetPr codeName="Sheet12">
    <tabColor theme="0" tint="-0.499984740745262"/>
  </sheetPr>
  <dimension ref="A1:O16"/>
  <sheetViews>
    <sheetView workbookViewId="0">
      <selection activeCell="B24" sqref="B24"/>
    </sheetView>
  </sheetViews>
  <sheetFormatPr defaultRowHeight="14" x14ac:dyDescent="0.25"/>
  <cols>
    <col min="1" max="1" width="5.26953125" style="38" bestFit="1" customWidth="1"/>
    <col min="2" max="2" width="59" style="38" customWidth="1"/>
    <col min="3" max="3" width="9.26953125" style="38" bestFit="1" customWidth="1"/>
    <col min="4" max="4" width="5.08984375" style="38" customWidth="1"/>
    <col min="5" max="5" width="5.26953125" style="38" bestFit="1" customWidth="1"/>
    <col min="6" max="7" width="8.7265625" style="38"/>
    <col min="8" max="8" width="6.54296875" style="38" customWidth="1"/>
    <col min="9" max="9" width="5.26953125" style="38" bestFit="1" customWidth="1"/>
    <col min="10" max="10" width="10.26953125" style="38" bestFit="1" customWidth="1"/>
    <col min="11" max="11" width="7" style="38" customWidth="1"/>
    <col min="12" max="12" width="9.1796875" style="38" customWidth="1"/>
    <col min="13" max="13" width="5.26953125" style="38" bestFit="1" customWidth="1"/>
    <col min="14" max="14" width="32" style="38" customWidth="1"/>
    <col min="15" max="15" width="41.26953125" style="38" bestFit="1" customWidth="1"/>
    <col min="16" max="16384" width="8.7265625" style="38"/>
  </cols>
  <sheetData>
    <row r="1" spans="1:15" x14ac:dyDescent="0.25">
      <c r="A1" s="43" t="s">
        <v>1668</v>
      </c>
      <c r="B1" s="38" t="s">
        <v>1594</v>
      </c>
      <c r="C1" s="38" t="s">
        <v>1595</v>
      </c>
      <c r="E1" s="38" t="s">
        <v>1596</v>
      </c>
      <c r="F1" s="38" t="s">
        <v>1597</v>
      </c>
      <c r="G1" s="38" t="s">
        <v>1598</v>
      </c>
      <c r="H1" s="38" t="s">
        <v>1599</v>
      </c>
      <c r="I1" s="38" t="s">
        <v>1600</v>
      </c>
      <c r="J1" s="38" t="s">
        <v>1601</v>
      </c>
      <c r="K1" s="38" t="s">
        <v>1602</v>
      </c>
      <c r="L1" s="38" t="s">
        <v>1603</v>
      </c>
      <c r="M1" s="38" t="s">
        <v>1604</v>
      </c>
      <c r="N1" s="38" t="s">
        <v>1605</v>
      </c>
      <c r="O1" s="38" t="s">
        <v>1606</v>
      </c>
    </row>
    <row r="2" spans="1:15" x14ac:dyDescent="0.25">
      <c r="A2" s="38">
        <v>1</v>
      </c>
      <c r="B2" s="38" t="s">
        <v>1607</v>
      </c>
      <c r="C2" s="39" t="s">
        <v>1608</v>
      </c>
      <c r="E2" s="38" t="s">
        <v>1609</v>
      </c>
      <c r="F2" s="39" t="s">
        <v>1610</v>
      </c>
      <c r="G2" s="39" t="s">
        <v>1611</v>
      </c>
      <c r="J2" s="38">
        <v>22</v>
      </c>
      <c r="K2" s="38">
        <v>29</v>
      </c>
      <c r="L2" s="38">
        <f>K2*0.65</f>
        <v>18.850000000000001</v>
      </c>
      <c r="M2" s="38" t="s">
        <v>1608</v>
      </c>
      <c r="N2" s="38" t="s">
        <v>1612</v>
      </c>
      <c r="O2" s="38" t="s">
        <v>1613</v>
      </c>
    </row>
    <row r="3" spans="1:15" x14ac:dyDescent="0.25">
      <c r="A3" s="38">
        <v>2</v>
      </c>
      <c r="B3" s="38" t="s">
        <v>1614</v>
      </c>
      <c r="C3" s="39" t="s">
        <v>1615</v>
      </c>
      <c r="F3" s="39" t="s">
        <v>1610</v>
      </c>
      <c r="G3" s="39" t="s">
        <v>1611</v>
      </c>
      <c r="H3" s="38" t="s">
        <v>1616</v>
      </c>
      <c r="J3" s="38" t="s">
        <v>1617</v>
      </c>
      <c r="K3" s="38">
        <v>54</v>
      </c>
      <c r="L3" s="38">
        <f t="shared" ref="L3:L9" si="0">K3*0.65</f>
        <v>35.1</v>
      </c>
      <c r="M3" s="38" t="s">
        <v>1615</v>
      </c>
      <c r="N3" s="38" t="s">
        <v>1612</v>
      </c>
      <c r="O3" s="38" t="s">
        <v>1613</v>
      </c>
    </row>
    <row r="4" spans="1:15" x14ac:dyDescent="0.25">
      <c r="A4" s="38">
        <v>3</v>
      </c>
      <c r="B4" s="38" t="s">
        <v>1618</v>
      </c>
      <c r="C4" s="39" t="s">
        <v>1619</v>
      </c>
      <c r="F4" s="38" t="s">
        <v>1620</v>
      </c>
      <c r="G4" s="38" t="s">
        <v>1621</v>
      </c>
      <c r="H4" s="38" t="s">
        <v>1622</v>
      </c>
      <c r="I4" s="39" t="s">
        <v>1623</v>
      </c>
      <c r="J4" s="38">
        <v>20</v>
      </c>
      <c r="K4" s="38">
        <v>33</v>
      </c>
      <c r="L4" s="38">
        <f t="shared" si="0"/>
        <v>21.45</v>
      </c>
      <c r="M4" s="38" t="s">
        <v>1619</v>
      </c>
      <c r="N4" s="38" t="s">
        <v>1624</v>
      </c>
    </row>
    <row r="5" spans="1:15" x14ac:dyDescent="0.25">
      <c r="A5" s="38">
        <v>4</v>
      </c>
      <c r="B5" s="38" t="s">
        <v>1625</v>
      </c>
      <c r="C5" s="39" t="s">
        <v>1626</v>
      </c>
      <c r="F5" s="38" t="s">
        <v>1620</v>
      </c>
      <c r="G5" s="38" t="s">
        <v>1621</v>
      </c>
      <c r="H5" s="38" t="s">
        <v>1622</v>
      </c>
      <c r="I5" s="39" t="s">
        <v>1623</v>
      </c>
      <c r="J5" s="38">
        <v>26</v>
      </c>
      <c r="K5" s="38">
        <v>66</v>
      </c>
      <c r="L5" s="38">
        <f t="shared" si="0"/>
        <v>42.9</v>
      </c>
      <c r="M5" s="38" t="s">
        <v>1626</v>
      </c>
      <c r="N5" s="38" t="s">
        <v>1627</v>
      </c>
    </row>
    <row r="6" spans="1:15" x14ac:dyDescent="0.25">
      <c r="A6" s="38">
        <v>5</v>
      </c>
      <c r="B6" s="38" t="s">
        <v>1628</v>
      </c>
      <c r="C6" s="39" t="s">
        <v>1629</v>
      </c>
      <c r="F6" s="38" t="s">
        <v>1620</v>
      </c>
      <c r="G6" s="38" t="s">
        <v>1620</v>
      </c>
      <c r="H6" s="38" t="s">
        <v>1622</v>
      </c>
      <c r="I6" s="38" t="s">
        <v>1630</v>
      </c>
      <c r="J6" s="38">
        <v>17.5</v>
      </c>
      <c r="K6" s="38">
        <v>34</v>
      </c>
      <c r="L6" s="38">
        <f t="shared" si="0"/>
        <v>22.1</v>
      </c>
      <c r="M6" s="38" t="s">
        <v>1629</v>
      </c>
      <c r="N6" s="38" t="s">
        <v>1631</v>
      </c>
    </row>
    <row r="7" spans="1:15" x14ac:dyDescent="0.25">
      <c r="A7" s="38">
        <v>6</v>
      </c>
      <c r="B7" s="38" t="s">
        <v>1632</v>
      </c>
      <c r="C7" s="39" t="s">
        <v>1633</v>
      </c>
      <c r="F7" s="38" t="s">
        <v>1620</v>
      </c>
      <c r="G7" s="38" t="s">
        <v>1620</v>
      </c>
      <c r="H7" s="38" t="s">
        <v>1616</v>
      </c>
      <c r="I7" s="38" t="s">
        <v>1630</v>
      </c>
      <c r="J7" s="38">
        <v>26</v>
      </c>
      <c r="K7" s="38">
        <v>68</v>
      </c>
      <c r="L7" s="38">
        <f t="shared" si="0"/>
        <v>44.2</v>
      </c>
      <c r="M7" s="38" t="s">
        <v>1633</v>
      </c>
      <c r="N7" s="38" t="s">
        <v>1631</v>
      </c>
    </row>
    <row r="8" spans="1:15" x14ac:dyDescent="0.25">
      <c r="A8" s="38">
        <v>7</v>
      </c>
      <c r="B8" s="38" t="s">
        <v>1634</v>
      </c>
      <c r="C8" s="38" t="s">
        <v>1635</v>
      </c>
      <c r="F8" s="40" t="s">
        <v>1620</v>
      </c>
      <c r="G8" s="40" t="s">
        <v>1636</v>
      </c>
      <c r="H8" s="40" t="s">
        <v>1616</v>
      </c>
      <c r="I8" s="40" t="s">
        <v>1630</v>
      </c>
      <c r="J8" s="40">
        <v>26</v>
      </c>
      <c r="K8" s="40">
        <v>77</v>
      </c>
      <c r="L8" s="40">
        <f t="shared" si="0"/>
        <v>50.050000000000004</v>
      </c>
      <c r="M8" s="40" t="s">
        <v>1635</v>
      </c>
      <c r="N8" s="40" t="s">
        <v>1637</v>
      </c>
      <c r="O8" s="40" t="s">
        <v>1638</v>
      </c>
    </row>
    <row r="9" spans="1:15" x14ac:dyDescent="0.25">
      <c r="A9" s="38">
        <v>8</v>
      </c>
      <c r="B9" s="38" t="s">
        <v>1639</v>
      </c>
      <c r="C9" s="38" t="s">
        <v>1640</v>
      </c>
      <c r="F9" s="40" t="s">
        <v>1620</v>
      </c>
      <c r="G9" s="40" t="s">
        <v>1636</v>
      </c>
      <c r="H9" s="40" t="s">
        <v>1622</v>
      </c>
      <c r="I9" s="40" t="s">
        <v>1630</v>
      </c>
      <c r="J9" s="40">
        <v>17.5</v>
      </c>
      <c r="K9" s="40">
        <v>38</v>
      </c>
      <c r="L9" s="40">
        <f t="shared" si="0"/>
        <v>24.7</v>
      </c>
      <c r="M9" s="40" t="s">
        <v>1640</v>
      </c>
      <c r="N9" s="40" t="s">
        <v>1637</v>
      </c>
      <c r="O9" s="40" t="s">
        <v>1641</v>
      </c>
    </row>
    <row r="12" spans="1:15" x14ac:dyDescent="0.25">
      <c r="B12" s="38" t="s">
        <v>1606</v>
      </c>
    </row>
    <row r="13" spans="1:15" x14ac:dyDescent="0.25">
      <c r="B13" s="38" t="s">
        <v>1643</v>
      </c>
    </row>
    <row r="14" spans="1:15" x14ac:dyDescent="0.25">
      <c r="B14" s="38" t="s">
        <v>1644</v>
      </c>
    </row>
    <row r="16" spans="1:15" x14ac:dyDescent="0.25">
      <c r="B16" s="44" t="s">
        <v>1642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5A4F-1B9B-4735-8621-86C1624815C3}">
  <sheetPr codeName="Sheet4">
    <tabColor theme="0" tint="-0.499984740745262"/>
  </sheetPr>
  <dimension ref="A1:L21"/>
  <sheetViews>
    <sheetView zoomScale="80" zoomScaleNormal="80" workbookViewId="0">
      <selection activeCell="G24" sqref="G24"/>
    </sheetView>
  </sheetViews>
  <sheetFormatPr defaultRowHeight="12.5" x14ac:dyDescent="0.25"/>
  <cols>
    <col min="1" max="1" width="6.81640625" customWidth="1"/>
    <col min="2" max="2" width="10.26953125" customWidth="1"/>
    <col min="3" max="3" width="10.81640625" customWidth="1"/>
    <col min="4" max="4" width="10.7265625" customWidth="1"/>
    <col min="5" max="5" width="10.6328125" customWidth="1"/>
    <col min="6" max="6" width="10.90625" customWidth="1"/>
    <col min="7" max="7" width="11.36328125" customWidth="1"/>
    <col min="8" max="8" width="11.90625" customWidth="1"/>
    <col min="9" max="9" width="12.1796875" customWidth="1"/>
    <col min="10" max="10" width="12.08984375" customWidth="1"/>
    <col min="11" max="11" width="61.36328125" customWidth="1"/>
    <col min="12" max="12" width="70.36328125" customWidth="1"/>
  </cols>
  <sheetData>
    <row r="1" spans="1:12" s="12" customFormat="1" ht="20" customHeight="1" thickBot="1" x14ac:dyDescent="0.3">
      <c r="A1" s="16" t="s">
        <v>1539</v>
      </c>
      <c r="B1" s="17" t="s">
        <v>1538</v>
      </c>
      <c r="C1" s="18" t="s">
        <v>1537</v>
      </c>
      <c r="D1" s="18" t="s">
        <v>1493</v>
      </c>
      <c r="E1" s="18" t="s">
        <v>1494</v>
      </c>
      <c r="F1" s="18" t="s">
        <v>1495</v>
      </c>
      <c r="G1" s="18" t="s">
        <v>1496</v>
      </c>
      <c r="H1" s="18" t="s">
        <v>1497</v>
      </c>
      <c r="I1" s="18" t="s">
        <v>1505</v>
      </c>
      <c r="J1" s="18" t="s">
        <v>1491</v>
      </c>
      <c r="K1" s="18" t="s">
        <v>1492</v>
      </c>
      <c r="L1" s="18" t="s">
        <v>1573</v>
      </c>
    </row>
    <row r="2" spans="1:12" ht="20" customHeight="1" thickTop="1" x14ac:dyDescent="0.25">
      <c r="A2" s="21">
        <v>1</v>
      </c>
      <c r="B2" s="22" t="s">
        <v>1504</v>
      </c>
      <c r="C2" s="23" t="s">
        <v>1474</v>
      </c>
      <c r="D2" s="23">
        <v>960</v>
      </c>
      <c r="E2" s="23">
        <v>225</v>
      </c>
      <c r="F2" s="23">
        <v>250</v>
      </c>
      <c r="G2" s="23">
        <v>16</v>
      </c>
      <c r="H2" s="24">
        <f>ROUNDUP(D2*E2*F2/1000000,0)</f>
        <v>54</v>
      </c>
      <c r="I2" s="23"/>
      <c r="J2" s="23"/>
      <c r="K2" s="22" t="s">
        <v>1511</v>
      </c>
      <c r="L2" s="22" t="s">
        <v>1575</v>
      </c>
    </row>
    <row r="3" spans="1:12" ht="20" customHeight="1" x14ac:dyDescent="0.25">
      <c r="A3" s="25">
        <v>2</v>
      </c>
      <c r="B3" s="26" t="s">
        <v>1504</v>
      </c>
      <c r="C3" s="27" t="s">
        <v>1509</v>
      </c>
      <c r="D3" s="27">
        <v>1300</v>
      </c>
      <c r="E3" s="27">
        <v>235</v>
      </c>
      <c r="F3" s="27">
        <v>250</v>
      </c>
      <c r="G3" s="27">
        <v>25</v>
      </c>
      <c r="H3" s="28">
        <f t="shared" ref="H3:H16" si="0">ROUNDUP(D3*E3*F3/1000000,0)</f>
        <v>77</v>
      </c>
      <c r="I3" s="27"/>
      <c r="J3" s="27"/>
      <c r="K3" s="29" t="s">
        <v>1541</v>
      </c>
      <c r="L3" s="29" t="s">
        <v>1575</v>
      </c>
    </row>
    <row r="4" spans="1:12" ht="20" customHeight="1" x14ac:dyDescent="0.25">
      <c r="A4" s="30">
        <v>3</v>
      </c>
      <c r="B4" s="31" t="s">
        <v>1504</v>
      </c>
      <c r="C4" s="32" t="s">
        <v>1510</v>
      </c>
      <c r="D4" s="32">
        <v>1300</v>
      </c>
      <c r="E4" s="32">
        <v>235</v>
      </c>
      <c r="F4" s="32">
        <v>250</v>
      </c>
      <c r="G4" s="32">
        <v>28</v>
      </c>
      <c r="H4" s="33">
        <f t="shared" si="0"/>
        <v>77</v>
      </c>
      <c r="I4" s="32"/>
      <c r="J4" s="32"/>
      <c r="K4" s="34" t="s">
        <v>1541</v>
      </c>
      <c r="L4" s="34" t="s">
        <v>1575</v>
      </c>
    </row>
    <row r="5" spans="1:12" ht="20" customHeight="1" x14ac:dyDescent="0.25">
      <c r="A5" s="25">
        <v>4</v>
      </c>
      <c r="B5" s="26" t="s">
        <v>1504</v>
      </c>
      <c r="C5" s="27" t="s">
        <v>1507</v>
      </c>
      <c r="D5" s="27">
        <v>1750</v>
      </c>
      <c r="E5" s="27">
        <v>280</v>
      </c>
      <c r="F5" s="27">
        <v>260</v>
      </c>
      <c r="G5" s="27">
        <v>29</v>
      </c>
      <c r="H5" s="28">
        <f t="shared" si="0"/>
        <v>128</v>
      </c>
      <c r="I5" s="27"/>
      <c r="J5" s="27"/>
      <c r="K5" s="26" t="s">
        <v>1512</v>
      </c>
      <c r="L5" s="26" t="s">
        <v>1575</v>
      </c>
    </row>
    <row r="6" spans="1:12" ht="20" customHeight="1" x14ac:dyDescent="0.25">
      <c r="A6" s="30">
        <v>5</v>
      </c>
      <c r="B6" s="31" t="s">
        <v>1504</v>
      </c>
      <c r="C6" s="32" t="s">
        <v>1508</v>
      </c>
      <c r="D6" s="32">
        <v>1750</v>
      </c>
      <c r="E6" s="32">
        <v>300</v>
      </c>
      <c r="F6" s="32">
        <v>260</v>
      </c>
      <c r="G6" s="32">
        <v>35</v>
      </c>
      <c r="H6" s="33">
        <f t="shared" si="0"/>
        <v>137</v>
      </c>
      <c r="I6" s="32"/>
      <c r="J6" s="32"/>
      <c r="K6" s="31" t="s">
        <v>1512</v>
      </c>
      <c r="L6" s="31" t="s">
        <v>1575</v>
      </c>
    </row>
    <row r="7" spans="1:12" ht="20" customHeight="1" x14ac:dyDescent="0.25">
      <c r="A7" s="25">
        <v>6</v>
      </c>
      <c r="B7" s="26" t="s">
        <v>1504</v>
      </c>
      <c r="C7" s="26" t="s">
        <v>1513</v>
      </c>
      <c r="D7" s="27">
        <v>1750</v>
      </c>
      <c r="E7" s="27">
        <v>300</v>
      </c>
      <c r="F7" s="27">
        <v>260</v>
      </c>
      <c r="G7" s="27">
        <v>46</v>
      </c>
      <c r="H7" s="28">
        <f t="shared" si="0"/>
        <v>137</v>
      </c>
      <c r="I7" s="27"/>
      <c r="J7" s="27"/>
      <c r="K7" s="26" t="s">
        <v>1514</v>
      </c>
      <c r="L7" s="26" t="s">
        <v>1574</v>
      </c>
    </row>
    <row r="8" spans="1:12" ht="20" customHeight="1" x14ac:dyDescent="0.25">
      <c r="A8" s="30">
        <v>7</v>
      </c>
      <c r="B8" s="31" t="s">
        <v>1503</v>
      </c>
      <c r="C8" s="32" t="s">
        <v>1477</v>
      </c>
      <c r="D8" s="32">
        <v>589.5</v>
      </c>
      <c r="E8" s="32">
        <v>235.2</v>
      </c>
      <c r="F8" s="32">
        <v>238.5</v>
      </c>
      <c r="G8" s="32">
        <v>18</v>
      </c>
      <c r="H8" s="33">
        <f t="shared" si="0"/>
        <v>34</v>
      </c>
      <c r="I8" s="33">
        <v>228</v>
      </c>
      <c r="J8" s="35">
        <v>2.2200000000000002</v>
      </c>
      <c r="K8" s="31" t="s">
        <v>1506</v>
      </c>
      <c r="L8" s="31" t="s">
        <v>1576</v>
      </c>
    </row>
    <row r="9" spans="1:12" ht="20" customHeight="1" x14ac:dyDescent="0.25">
      <c r="A9" s="25">
        <v>8</v>
      </c>
      <c r="B9" s="26" t="s">
        <v>1503</v>
      </c>
      <c r="C9" s="27" t="s">
        <v>1479</v>
      </c>
      <c r="D9" s="27">
        <v>589.5</v>
      </c>
      <c r="E9" s="27">
        <v>235.2</v>
      </c>
      <c r="F9" s="27">
        <v>234.2</v>
      </c>
      <c r="G9" s="27">
        <v>20</v>
      </c>
      <c r="H9" s="28">
        <f t="shared" si="0"/>
        <v>33</v>
      </c>
      <c r="I9" s="28">
        <v>228</v>
      </c>
      <c r="J9" s="36">
        <v>2.25</v>
      </c>
      <c r="K9" s="26" t="s">
        <v>1506</v>
      </c>
      <c r="L9" s="26" t="s">
        <v>1577</v>
      </c>
    </row>
    <row r="10" spans="1:12" ht="20" customHeight="1" x14ac:dyDescent="0.25">
      <c r="A10" s="30">
        <v>9</v>
      </c>
      <c r="B10" s="31" t="s">
        <v>1503</v>
      </c>
      <c r="C10" s="32" t="s">
        <v>1478</v>
      </c>
      <c r="D10" s="32">
        <v>589.5</v>
      </c>
      <c r="E10" s="32">
        <v>235.2</v>
      </c>
      <c r="F10" s="32">
        <v>269</v>
      </c>
      <c r="G10" s="32">
        <v>27</v>
      </c>
      <c r="H10" s="33">
        <f t="shared" si="0"/>
        <v>38</v>
      </c>
      <c r="I10" s="33">
        <v>258.5</v>
      </c>
      <c r="J10" s="35">
        <v>2.58</v>
      </c>
      <c r="K10" s="31" t="s">
        <v>1506</v>
      </c>
      <c r="L10" s="31" t="s">
        <v>1578</v>
      </c>
    </row>
    <row r="11" spans="1:12" ht="20" customHeight="1" x14ac:dyDescent="0.25">
      <c r="A11" s="25">
        <v>10</v>
      </c>
      <c r="B11" s="26" t="s">
        <v>1503</v>
      </c>
      <c r="C11" s="27" t="s">
        <v>1483</v>
      </c>
      <c r="D11" s="27">
        <v>563.79999999999995</v>
      </c>
      <c r="E11" s="27">
        <v>222.8</v>
      </c>
      <c r="F11" s="27">
        <v>223.3</v>
      </c>
      <c r="G11" s="27">
        <v>22</v>
      </c>
      <c r="H11" s="28">
        <f t="shared" si="0"/>
        <v>29</v>
      </c>
      <c r="I11" s="28"/>
      <c r="J11" s="36">
        <v>2.75</v>
      </c>
      <c r="K11" s="26" t="s">
        <v>1506</v>
      </c>
      <c r="L11" s="26" t="s">
        <v>1579</v>
      </c>
    </row>
    <row r="12" spans="1:12" s="11" customFormat="1" ht="25" customHeight="1" x14ac:dyDescent="0.25">
      <c r="A12" s="30">
        <v>11</v>
      </c>
      <c r="B12" s="31" t="s">
        <v>1503</v>
      </c>
      <c r="C12" s="32" t="s">
        <v>1480</v>
      </c>
      <c r="D12" s="32">
        <v>1203.2</v>
      </c>
      <c r="E12" s="32">
        <v>235.2</v>
      </c>
      <c r="F12" s="32">
        <v>238.5</v>
      </c>
      <c r="G12" s="32">
        <v>26</v>
      </c>
      <c r="H12" s="33">
        <f t="shared" si="0"/>
        <v>68</v>
      </c>
      <c r="I12" s="33">
        <v>228</v>
      </c>
      <c r="J12" s="35">
        <v>3.72</v>
      </c>
      <c r="K12" s="31" t="s">
        <v>1506</v>
      </c>
      <c r="L12" s="31" t="s">
        <v>1580</v>
      </c>
    </row>
    <row r="13" spans="1:12" ht="20" customHeight="1" x14ac:dyDescent="0.25">
      <c r="A13" s="25">
        <v>12</v>
      </c>
      <c r="B13" s="26" t="s">
        <v>1503</v>
      </c>
      <c r="C13" s="27" t="s">
        <v>1481</v>
      </c>
      <c r="D13" s="27">
        <v>1203.4000000000001</v>
      </c>
      <c r="E13" s="27">
        <v>235.2</v>
      </c>
      <c r="F13" s="27">
        <v>233</v>
      </c>
      <c r="G13" s="27">
        <v>26</v>
      </c>
      <c r="H13" s="28">
        <f t="shared" si="0"/>
        <v>66</v>
      </c>
      <c r="I13" s="28">
        <v>228</v>
      </c>
      <c r="J13" s="36">
        <v>3.82</v>
      </c>
      <c r="K13" s="26" t="s">
        <v>1506</v>
      </c>
      <c r="L13" s="26" t="s">
        <v>1581</v>
      </c>
    </row>
    <row r="14" spans="1:12" ht="20" customHeight="1" x14ac:dyDescent="0.25">
      <c r="A14" s="30">
        <v>13</v>
      </c>
      <c r="B14" s="31" t="s">
        <v>1503</v>
      </c>
      <c r="C14" s="32" t="s">
        <v>1482</v>
      </c>
      <c r="D14" s="32">
        <v>1203.2</v>
      </c>
      <c r="E14" s="32">
        <v>235.2</v>
      </c>
      <c r="F14" s="32">
        <v>269.8</v>
      </c>
      <c r="G14" s="32">
        <v>26</v>
      </c>
      <c r="H14" s="33">
        <f t="shared" si="0"/>
        <v>77</v>
      </c>
      <c r="I14" s="33">
        <v>258.5</v>
      </c>
      <c r="J14" s="35">
        <v>4.76</v>
      </c>
      <c r="K14" s="31" t="s">
        <v>1506</v>
      </c>
      <c r="L14" s="31" t="s">
        <v>1582</v>
      </c>
    </row>
    <row r="15" spans="1:12" ht="20" customHeight="1" x14ac:dyDescent="0.25">
      <c r="A15" s="25">
        <v>14</v>
      </c>
      <c r="B15" s="26" t="s">
        <v>1503</v>
      </c>
      <c r="C15" s="27" t="s">
        <v>1586</v>
      </c>
      <c r="D15" s="27">
        <v>1177.5999999999999</v>
      </c>
      <c r="E15" s="27">
        <v>224</v>
      </c>
      <c r="F15" s="27">
        <v>203.4</v>
      </c>
      <c r="G15" s="27">
        <v>39</v>
      </c>
      <c r="H15" s="28">
        <f t="shared" si="0"/>
        <v>54</v>
      </c>
      <c r="I15" s="28"/>
      <c r="J15" s="36">
        <v>5</v>
      </c>
      <c r="K15" s="26" t="s">
        <v>1506</v>
      </c>
      <c r="L15" s="26" t="s">
        <v>1583</v>
      </c>
    </row>
    <row r="16" spans="1:12" ht="20" customHeight="1" x14ac:dyDescent="0.25">
      <c r="A16" s="25">
        <v>16</v>
      </c>
      <c r="B16" s="26" t="s">
        <v>1503</v>
      </c>
      <c r="C16" s="27" t="s">
        <v>1484</v>
      </c>
      <c r="D16" s="27">
        <v>1355.6</v>
      </c>
      <c r="E16" s="27">
        <v>235.2</v>
      </c>
      <c r="F16" s="27">
        <v>269.8</v>
      </c>
      <c r="G16" s="27">
        <v>28</v>
      </c>
      <c r="H16" s="28">
        <f t="shared" si="0"/>
        <v>87</v>
      </c>
      <c r="I16" s="28">
        <v>258.5</v>
      </c>
      <c r="J16" s="36">
        <v>4.7</v>
      </c>
      <c r="K16" s="26" t="s">
        <v>1506</v>
      </c>
      <c r="L16" s="26" t="s">
        <v>1584</v>
      </c>
    </row>
    <row r="17" spans="1:12" ht="20" customHeight="1" x14ac:dyDescent="0.25">
      <c r="A17" s="30">
        <v>17</v>
      </c>
      <c r="B17" s="31" t="s">
        <v>1503</v>
      </c>
      <c r="C17" s="32" t="s">
        <v>1485</v>
      </c>
      <c r="D17" s="32"/>
      <c r="E17" s="32"/>
      <c r="F17" s="32"/>
      <c r="G17" s="32"/>
      <c r="H17" s="33"/>
      <c r="I17" s="33"/>
      <c r="J17" s="33"/>
      <c r="K17" s="31" t="s">
        <v>1489</v>
      </c>
      <c r="L17" s="31" t="s">
        <v>1585</v>
      </c>
    </row>
    <row r="18" spans="1:12" ht="20" customHeight="1" x14ac:dyDescent="0.25">
      <c r="A18" s="25">
        <v>18</v>
      </c>
      <c r="B18" s="26" t="s">
        <v>1503</v>
      </c>
      <c r="C18" s="27" t="s">
        <v>1486</v>
      </c>
      <c r="D18" s="27"/>
      <c r="E18" s="27"/>
      <c r="F18" s="27"/>
      <c r="G18" s="27"/>
      <c r="H18" s="28"/>
      <c r="I18" s="28"/>
      <c r="J18" s="28"/>
      <c r="K18" s="26" t="s">
        <v>1490</v>
      </c>
      <c r="L18" s="26"/>
    </row>
    <row r="19" spans="1:12" ht="20" customHeight="1" x14ac:dyDescent="0.25"/>
    <row r="20" spans="1:12" ht="20" customHeight="1" x14ac:dyDescent="0.25"/>
    <row r="21" spans="1:12" ht="20" customHeight="1" x14ac:dyDescent="0.25"/>
  </sheetData>
  <phoneticPr fontId="5" type="noConversion"/>
  <pageMargins left="0.7" right="0.7" top="0.75" bottom="0.75" header="0.3" footer="0.3"/>
  <pageSetup paperSize="9" orientation="portrait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F8546-F8C6-478D-A2FF-455E4AD2495A}">
  <sheetPr codeName="Sheet10">
    <tabColor rgb="FFCCFF66"/>
  </sheetPr>
  <dimension ref="A1:U7"/>
  <sheetViews>
    <sheetView tabSelected="1" zoomScale="80" zoomScaleNormal="80" workbookViewId="0">
      <selection activeCell="M33" sqref="M33"/>
    </sheetView>
  </sheetViews>
  <sheetFormatPr defaultRowHeight="12.5" x14ac:dyDescent="0.25"/>
  <cols>
    <col min="1" max="1" width="9.453125" bestFit="1" customWidth="1"/>
    <col min="4" max="4" width="25.6328125" customWidth="1"/>
    <col min="5" max="5" width="15.81640625" bestFit="1" customWidth="1"/>
    <col min="8" max="8" width="5.6328125" customWidth="1"/>
    <col min="9" max="9" width="8.26953125" bestFit="1" customWidth="1"/>
    <col min="14" max="14" width="14" bestFit="1" customWidth="1"/>
    <col min="15" max="15" width="8.36328125" bestFit="1" customWidth="1"/>
    <col min="17" max="18" width="5.08984375" bestFit="1" customWidth="1"/>
    <col min="19" max="19" width="5.36328125" bestFit="1" customWidth="1"/>
    <col min="20" max="20" width="16.1796875" bestFit="1" customWidth="1"/>
    <col min="21" max="21" width="8" bestFit="1" customWidth="1"/>
    <col min="23" max="23" width="5.08984375" bestFit="1" customWidth="1"/>
    <col min="24" max="24" width="11.6328125" bestFit="1" customWidth="1"/>
    <col min="25" max="26" width="5.453125" bestFit="1" customWidth="1"/>
    <col min="27" max="27" width="5.26953125" bestFit="1" customWidth="1"/>
    <col min="28" max="28" width="16.453125" bestFit="1" customWidth="1"/>
    <col min="31" max="31" width="7.08984375" bestFit="1" customWidth="1"/>
    <col min="32" max="32" width="10.36328125" bestFit="1" customWidth="1"/>
    <col min="34" max="34" width="13.453125" customWidth="1"/>
  </cols>
  <sheetData>
    <row r="1" spans="1:21" x14ac:dyDescent="0.25">
      <c r="A1" s="19" t="s">
        <v>1542</v>
      </c>
      <c r="B1" s="19" t="s">
        <v>1543</v>
      </c>
      <c r="C1" s="19" t="s">
        <v>1544</v>
      </c>
      <c r="D1" s="19" t="s">
        <v>1545</v>
      </c>
      <c r="E1" s="19" t="s">
        <v>1546</v>
      </c>
      <c r="F1" s="19" t="s">
        <v>1547</v>
      </c>
      <c r="G1" s="19" t="s">
        <v>1548</v>
      </c>
      <c r="H1" s="19" t="s">
        <v>1549</v>
      </c>
      <c r="I1" s="19" t="s">
        <v>1550</v>
      </c>
      <c r="J1" s="19" t="s">
        <v>1551</v>
      </c>
      <c r="K1" s="19" t="s">
        <v>1552</v>
      </c>
      <c r="L1" s="19" t="s">
        <v>1553</v>
      </c>
      <c r="M1" s="19" t="s">
        <v>1554</v>
      </c>
      <c r="N1" s="19" t="s">
        <v>1555</v>
      </c>
      <c r="O1" s="19" t="s">
        <v>1556</v>
      </c>
      <c r="P1" s="19" t="s">
        <v>1557</v>
      </c>
      <c r="Q1" s="19" t="s">
        <v>1558</v>
      </c>
      <c r="R1" s="19" t="s">
        <v>1566</v>
      </c>
      <c r="S1" s="19" t="s">
        <v>1567</v>
      </c>
      <c r="T1" s="19" t="s">
        <v>1559</v>
      </c>
      <c r="U1" s="19" t="s">
        <v>1560</v>
      </c>
    </row>
    <row r="2" spans="1:21" ht="14" customHeight="1" x14ac:dyDescent="0.35">
      <c r="A2" s="42" t="s">
        <v>1666</v>
      </c>
      <c r="B2" t="s">
        <v>1561</v>
      </c>
      <c r="C2">
        <v>155921</v>
      </c>
      <c r="D2" t="s">
        <v>1563</v>
      </c>
      <c r="E2" t="s">
        <v>1568</v>
      </c>
      <c r="F2">
        <v>31</v>
      </c>
      <c r="G2" t="s">
        <v>1564</v>
      </c>
      <c r="J2" t="s">
        <v>1565</v>
      </c>
      <c r="K2">
        <v>395</v>
      </c>
      <c r="M2">
        <v>2</v>
      </c>
      <c r="N2" s="10" t="s">
        <v>1163</v>
      </c>
      <c r="O2" s="10">
        <v>0.58208400000000005</v>
      </c>
      <c r="P2">
        <v>27.3</v>
      </c>
      <c r="Q2">
        <v>2</v>
      </c>
      <c r="S2">
        <v>0</v>
      </c>
      <c r="U2">
        <v>0</v>
      </c>
    </row>
    <row r="3" spans="1:21" ht="14" customHeight="1" x14ac:dyDescent="0.35">
      <c r="A3" t="s">
        <v>1666</v>
      </c>
      <c r="B3" t="s">
        <v>1561</v>
      </c>
      <c r="C3">
        <v>155923</v>
      </c>
      <c r="D3" t="s">
        <v>1563</v>
      </c>
      <c r="E3" t="s">
        <v>1570</v>
      </c>
      <c r="F3">
        <v>8</v>
      </c>
      <c r="G3" t="s">
        <v>1564</v>
      </c>
      <c r="J3" t="s">
        <v>1565</v>
      </c>
      <c r="K3">
        <v>395</v>
      </c>
      <c r="M3">
        <v>1</v>
      </c>
      <c r="N3" s="10" t="s">
        <v>1217</v>
      </c>
      <c r="O3" s="10">
        <v>0.72476799999999997</v>
      </c>
      <c r="P3">
        <v>27.3</v>
      </c>
      <c r="Q3">
        <v>1</v>
      </c>
      <c r="S3">
        <v>0</v>
      </c>
      <c r="U3">
        <v>0</v>
      </c>
    </row>
    <row r="4" spans="1:21" ht="14.5" x14ac:dyDescent="0.35">
      <c r="A4" t="s">
        <v>1666</v>
      </c>
      <c r="B4" t="s">
        <v>1561</v>
      </c>
      <c r="C4">
        <v>156001</v>
      </c>
      <c r="D4" t="s">
        <v>1562</v>
      </c>
      <c r="E4" t="s">
        <v>1662</v>
      </c>
      <c r="F4">
        <v>4</v>
      </c>
      <c r="G4" t="s">
        <v>1564</v>
      </c>
      <c r="J4" t="s">
        <v>1565</v>
      </c>
      <c r="K4">
        <v>394</v>
      </c>
      <c r="M4">
        <v>1</v>
      </c>
      <c r="N4" s="10" t="s">
        <v>1259</v>
      </c>
      <c r="O4" s="10">
        <v>0.95599999999999996</v>
      </c>
      <c r="P4">
        <v>28.6</v>
      </c>
      <c r="Q4">
        <v>1</v>
      </c>
      <c r="S4">
        <v>0</v>
      </c>
      <c r="U4">
        <v>0</v>
      </c>
    </row>
    <row r="5" spans="1:21" ht="14.5" x14ac:dyDescent="0.35">
      <c r="A5" t="s">
        <v>1666</v>
      </c>
      <c r="B5" t="s">
        <v>1561</v>
      </c>
      <c r="C5">
        <v>156002</v>
      </c>
      <c r="D5" t="s">
        <v>1562</v>
      </c>
      <c r="E5" t="s">
        <v>1572</v>
      </c>
      <c r="F5">
        <v>3</v>
      </c>
      <c r="G5" t="s">
        <v>1564</v>
      </c>
      <c r="J5" t="s">
        <v>1565</v>
      </c>
      <c r="K5">
        <v>394</v>
      </c>
      <c r="M5">
        <v>1</v>
      </c>
      <c r="N5" s="10" t="s">
        <v>1307</v>
      </c>
      <c r="O5" s="10">
        <v>1.5897600000000001</v>
      </c>
      <c r="P5">
        <v>60</v>
      </c>
      <c r="Q5">
        <v>1</v>
      </c>
      <c r="S5">
        <v>0</v>
      </c>
      <c r="U5">
        <v>0</v>
      </c>
    </row>
    <row r="6" spans="1:21" ht="14.5" x14ac:dyDescent="0.35">
      <c r="A6" t="s">
        <v>1666</v>
      </c>
      <c r="B6" t="s">
        <v>1561</v>
      </c>
      <c r="C6">
        <v>156003</v>
      </c>
      <c r="D6" t="s">
        <v>1562</v>
      </c>
      <c r="E6" t="s">
        <v>1663</v>
      </c>
      <c r="F6">
        <v>2</v>
      </c>
      <c r="G6" t="s">
        <v>1564</v>
      </c>
      <c r="J6" t="s">
        <v>1565</v>
      </c>
      <c r="K6">
        <v>394</v>
      </c>
      <c r="S6">
        <v>0</v>
      </c>
      <c r="T6" s="10" t="s">
        <v>1664</v>
      </c>
      <c r="U6">
        <v>2.5344000000000002</v>
      </c>
    </row>
    <row r="7" spans="1:21" ht="14.5" x14ac:dyDescent="0.35">
      <c r="A7" t="s">
        <v>1666</v>
      </c>
      <c r="B7" t="s">
        <v>1561</v>
      </c>
      <c r="C7">
        <v>156004</v>
      </c>
      <c r="D7" t="s">
        <v>1562</v>
      </c>
      <c r="E7" t="s">
        <v>1571</v>
      </c>
      <c r="F7">
        <v>2</v>
      </c>
      <c r="G7" t="s">
        <v>1564</v>
      </c>
      <c r="J7" t="s">
        <v>1565</v>
      </c>
      <c r="K7">
        <v>394</v>
      </c>
      <c r="S7">
        <v>0</v>
      </c>
      <c r="T7" s="10" t="s">
        <v>1665</v>
      </c>
      <c r="U7">
        <v>2.9106000000000001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A1:AZ4260"/>
  <sheetViews>
    <sheetView zoomScale="80" zoomScaleNormal="80" workbookViewId="0">
      <selection activeCell="H10" sqref="H10"/>
    </sheetView>
  </sheetViews>
  <sheetFormatPr defaultRowHeight="12.5" customHeight="1" x14ac:dyDescent="0.25"/>
  <cols>
    <col min="1" max="2" width="14.6328125" style="1" customWidth="1"/>
    <col min="3" max="9" width="8.6328125" style="1" customWidth="1"/>
    <col min="10" max="10" width="8.6328125" style="2" customWidth="1"/>
    <col min="11" max="17" width="8.6328125" style="1" customWidth="1"/>
    <col min="18" max="18" width="12.6328125" customWidth="1"/>
    <col min="19" max="52" width="8.6328125" customWidth="1"/>
  </cols>
  <sheetData>
    <row r="1" spans="1:52" ht="26.5" customHeight="1" x14ac:dyDescent="0.25">
      <c r="A1" s="54"/>
      <c r="B1" s="46" t="s">
        <v>1673</v>
      </c>
      <c r="C1" s="54"/>
      <c r="D1" s="54"/>
      <c r="E1" s="54" t="s">
        <v>1587</v>
      </c>
      <c r="F1" s="54" t="s">
        <v>1588</v>
      </c>
      <c r="G1" s="54" t="s">
        <v>1471</v>
      </c>
      <c r="H1" s="54" t="s">
        <v>1472</v>
      </c>
      <c r="I1" s="54" t="s">
        <v>1473</v>
      </c>
      <c r="J1" s="54" t="s">
        <v>1589</v>
      </c>
      <c r="K1" s="54" t="s">
        <v>1590</v>
      </c>
      <c r="L1" s="54" t="s">
        <v>1591</v>
      </c>
      <c r="M1" s="54" t="s">
        <v>1592</v>
      </c>
      <c r="N1" s="54" t="s">
        <v>1593</v>
      </c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</row>
    <row r="2" spans="1:52" s="15" customFormat="1" ht="26.5" customHeight="1" x14ac:dyDescent="0.25">
      <c r="A2" s="54"/>
      <c r="B2" s="56" t="s">
        <v>1671</v>
      </c>
      <c r="C2" s="47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9"/>
      <c r="AC2" s="54"/>
      <c r="AD2" s="54"/>
      <c r="AE2" s="54"/>
      <c r="AF2" s="54"/>
      <c r="AG2" s="54"/>
      <c r="AH2" s="54"/>
      <c r="AI2" s="54"/>
      <c r="AJ2" s="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s="11" customFormat="1" ht="50" customHeight="1" x14ac:dyDescent="0.25">
      <c r="A3" s="55"/>
      <c r="B3" s="57" t="s">
        <v>1672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60"/>
      <c r="AC3" s="55"/>
      <c r="AD3" s="55"/>
      <c r="AE3" s="55"/>
      <c r="AF3" s="55"/>
      <c r="AG3" s="55"/>
      <c r="AH3" s="55"/>
      <c r="AI3" s="55"/>
      <c r="AJ3" s="55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ht="12.5" customHeight="1" x14ac:dyDescent="0.25">
      <c r="A4" s="37" t="s">
        <v>1499</v>
      </c>
      <c r="B4" s="37" t="s">
        <v>1498</v>
      </c>
      <c r="C4" s="37" t="s">
        <v>1500</v>
      </c>
      <c r="D4" s="37" t="s">
        <v>1488</v>
      </c>
      <c r="E4" s="37" t="s">
        <v>1487</v>
      </c>
      <c r="F4" s="37" t="s">
        <v>1476</v>
      </c>
      <c r="G4" s="37" t="s">
        <v>1521</v>
      </c>
      <c r="H4" s="37" t="s">
        <v>1471</v>
      </c>
      <c r="I4" s="37" t="s">
        <v>1472</v>
      </c>
      <c r="J4" s="37" t="s">
        <v>1473</v>
      </c>
      <c r="K4" s="37" t="s">
        <v>1522</v>
      </c>
      <c r="L4" s="37" t="s">
        <v>1523</v>
      </c>
      <c r="M4" s="37" t="s">
        <v>1519</v>
      </c>
      <c r="N4" s="41" t="s">
        <v>1502</v>
      </c>
      <c r="O4" s="37" t="s">
        <v>1536</v>
      </c>
      <c r="P4" s="37" t="s">
        <v>1569</v>
      </c>
      <c r="Q4" s="37" t="s">
        <v>1667</v>
      </c>
      <c r="R4" s="37" t="s">
        <v>1645</v>
      </c>
      <c r="S4" s="37" t="s">
        <v>1669</v>
      </c>
      <c r="T4" s="20"/>
      <c r="U4" s="20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52" ht="12.5" customHeight="1" x14ac:dyDescent="0.25">
      <c r="A5" s="45" t="s">
        <v>1646</v>
      </c>
      <c r="B5" s="45" t="s">
        <v>1647</v>
      </c>
      <c r="C5" s="45" t="s">
        <v>1648</v>
      </c>
      <c r="D5" s="45" t="s">
        <v>1649</v>
      </c>
      <c r="E5" s="45" t="s">
        <v>1527</v>
      </c>
      <c r="F5" s="45" t="s">
        <v>1650</v>
      </c>
      <c r="G5" s="45" t="s">
        <v>1651</v>
      </c>
      <c r="H5" s="45" t="s">
        <v>1652</v>
      </c>
      <c r="I5" s="45" t="s">
        <v>1653</v>
      </c>
      <c r="J5" s="45" t="s">
        <v>1654</v>
      </c>
      <c r="K5" s="45" t="s">
        <v>1655</v>
      </c>
      <c r="L5" s="45" t="s">
        <v>1656</v>
      </c>
      <c r="M5" s="45" t="s">
        <v>1657</v>
      </c>
      <c r="N5" s="45" t="s">
        <v>1658</v>
      </c>
      <c r="O5" s="45" t="s">
        <v>1659</v>
      </c>
      <c r="P5" s="45" t="s">
        <v>1543</v>
      </c>
      <c r="Q5" s="45" t="s">
        <v>1558</v>
      </c>
      <c r="R5" s="45" t="s">
        <v>1660</v>
      </c>
      <c r="S5" s="45" t="s">
        <v>1670</v>
      </c>
      <c r="T5" s="45"/>
      <c r="U5" s="45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52" ht="12.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U6" s="48"/>
    </row>
    <row r="7" spans="1:52" ht="12.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U7" s="48"/>
    </row>
    <row r="8" spans="1:52" ht="12.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U8" s="48"/>
    </row>
    <row r="9" spans="1:52" ht="12.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U9" s="48"/>
    </row>
    <row r="10" spans="1:52" ht="12.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U10" s="48"/>
    </row>
    <row r="11" spans="1:52" ht="12.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U11" s="48"/>
    </row>
    <row r="12" spans="1:52" ht="12.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U12" s="48"/>
    </row>
    <row r="13" spans="1:52" ht="12.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U13" s="48"/>
    </row>
    <row r="14" spans="1:52" ht="12.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U14" s="48"/>
    </row>
    <row r="15" spans="1:52" ht="12.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U15" s="48"/>
    </row>
    <row r="16" spans="1:52" ht="12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U16" s="48"/>
    </row>
    <row r="17" spans="1:21" ht="12.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U17" s="48"/>
    </row>
    <row r="18" spans="1:21" ht="12.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U18" s="48"/>
    </row>
    <row r="19" spans="1:21" ht="12.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U19" s="48"/>
    </row>
    <row r="20" spans="1:21" ht="12.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U20" s="48"/>
    </row>
    <row r="21" spans="1:21" ht="12.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U21" s="48"/>
    </row>
    <row r="22" spans="1:21" ht="12.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U22" s="48"/>
    </row>
    <row r="23" spans="1:21" ht="12.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U23" s="48"/>
    </row>
    <row r="24" spans="1:21" ht="12.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U24" s="48"/>
    </row>
    <row r="25" spans="1:21" ht="12.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U25" s="48"/>
    </row>
    <row r="26" spans="1:21" ht="12.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U26" s="48"/>
    </row>
    <row r="27" spans="1:21" ht="12.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U27" s="48"/>
    </row>
    <row r="28" spans="1:21" ht="12.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U28" s="48"/>
    </row>
    <row r="29" spans="1:21" ht="12.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U29" s="48"/>
    </row>
    <row r="30" spans="1:21" ht="12.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U30" s="48"/>
    </row>
    <row r="31" spans="1:21" ht="12.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U31" s="48"/>
    </row>
    <row r="32" spans="1:21" ht="12.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U32" s="48"/>
    </row>
    <row r="33" spans="1:21" ht="12.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U33" s="48"/>
    </row>
    <row r="34" spans="1:21" ht="12.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U34" s="48"/>
    </row>
    <row r="35" spans="1:21" ht="12.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U35" s="48"/>
    </row>
    <row r="36" spans="1:21" ht="12.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U36" s="48"/>
    </row>
    <row r="37" spans="1:21" ht="12.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U37" s="48"/>
    </row>
    <row r="38" spans="1:21" ht="12.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U38" s="48"/>
    </row>
    <row r="39" spans="1:21" ht="12.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U39" s="48"/>
    </row>
    <row r="40" spans="1:21" ht="12.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U40" s="48"/>
    </row>
    <row r="41" spans="1:21" ht="12.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21" ht="12.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21" ht="12.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21" ht="12.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21" ht="12.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21" ht="12.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21" ht="12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21" ht="12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 ht="12.5" customHeight="1" x14ac:dyDescent="0.25"/>
    <row r="50" customFormat="1" ht="12.5" customHeight="1" x14ac:dyDescent="0.25"/>
    <row r="51" customFormat="1" ht="12.5" customHeight="1" x14ac:dyDescent="0.25"/>
    <row r="52" customFormat="1" ht="12.5" customHeight="1" x14ac:dyDescent="0.25"/>
    <row r="53" customFormat="1" ht="12.5" customHeight="1" x14ac:dyDescent="0.25"/>
    <row r="54" customFormat="1" ht="12.5" customHeight="1" x14ac:dyDescent="0.25"/>
    <row r="55" customFormat="1" ht="12.5" customHeight="1" x14ac:dyDescent="0.25"/>
    <row r="56" customFormat="1" ht="12.5" customHeight="1" x14ac:dyDescent="0.25"/>
    <row r="57" customFormat="1" ht="12.5" customHeight="1" x14ac:dyDescent="0.25"/>
    <row r="58" customFormat="1" ht="12.5" customHeight="1" x14ac:dyDescent="0.25"/>
    <row r="59" customFormat="1" ht="12.5" customHeight="1" x14ac:dyDescent="0.25"/>
    <row r="60" customFormat="1" ht="12.5" customHeight="1" x14ac:dyDescent="0.25"/>
    <row r="61" customFormat="1" ht="12.5" customHeight="1" x14ac:dyDescent="0.25"/>
    <row r="62" customFormat="1" ht="12.5" customHeight="1" x14ac:dyDescent="0.25"/>
    <row r="63" customFormat="1" ht="12.5" customHeight="1" x14ac:dyDescent="0.25"/>
    <row r="64" customFormat="1" ht="12.5" customHeight="1" x14ac:dyDescent="0.25"/>
    <row r="65" customFormat="1" ht="12.5" customHeight="1" x14ac:dyDescent="0.25"/>
    <row r="66" customFormat="1" ht="12.5" customHeight="1" x14ac:dyDescent="0.25"/>
    <row r="67" customFormat="1" ht="12.5" customHeight="1" x14ac:dyDescent="0.25"/>
    <row r="68" customFormat="1" ht="12.5" customHeight="1" x14ac:dyDescent="0.25"/>
    <row r="69" customFormat="1" ht="12.5" customHeight="1" x14ac:dyDescent="0.25"/>
    <row r="70" customFormat="1" ht="12.5" customHeight="1" x14ac:dyDescent="0.25"/>
    <row r="71" customFormat="1" ht="12.5" customHeight="1" x14ac:dyDescent="0.25"/>
    <row r="72" customFormat="1" ht="12.5" customHeight="1" x14ac:dyDescent="0.25"/>
    <row r="73" customFormat="1" ht="12.5" customHeight="1" x14ac:dyDescent="0.25"/>
    <row r="74" customFormat="1" ht="12.5" customHeight="1" x14ac:dyDescent="0.25"/>
    <row r="75" customFormat="1" ht="12.5" customHeight="1" x14ac:dyDescent="0.25"/>
    <row r="76" customFormat="1" ht="12.5" customHeight="1" x14ac:dyDescent="0.25"/>
    <row r="77" customFormat="1" ht="12.5" customHeight="1" x14ac:dyDescent="0.25"/>
    <row r="78" customFormat="1" ht="12.5" customHeight="1" x14ac:dyDescent="0.25"/>
    <row r="79" customFormat="1" ht="12.5" customHeight="1" x14ac:dyDescent="0.25"/>
    <row r="80" customFormat="1" ht="12.5" customHeight="1" x14ac:dyDescent="0.25"/>
    <row r="81" customFormat="1" ht="12.5" customHeight="1" x14ac:dyDescent="0.25"/>
    <row r="82" customFormat="1" ht="12.5" customHeight="1" x14ac:dyDescent="0.25"/>
    <row r="83" customFormat="1" ht="12.5" customHeight="1" x14ac:dyDescent="0.25"/>
    <row r="84" customFormat="1" ht="12.5" customHeight="1" x14ac:dyDescent="0.25"/>
    <row r="85" customFormat="1" ht="12.5" customHeight="1" x14ac:dyDescent="0.25"/>
    <row r="86" customFormat="1" ht="12.5" customHeight="1" x14ac:dyDescent="0.25"/>
    <row r="87" customFormat="1" ht="12.5" customHeight="1" x14ac:dyDescent="0.25"/>
    <row r="88" customFormat="1" ht="12.5" customHeight="1" x14ac:dyDescent="0.25"/>
    <row r="89" customFormat="1" ht="12.5" customHeight="1" x14ac:dyDescent="0.25"/>
    <row r="90" customFormat="1" ht="12.5" customHeight="1" x14ac:dyDescent="0.25"/>
    <row r="91" customFormat="1" ht="12.5" customHeight="1" x14ac:dyDescent="0.25"/>
    <row r="92" customFormat="1" ht="12.5" customHeight="1" x14ac:dyDescent="0.25"/>
    <row r="93" customFormat="1" ht="12.5" customHeight="1" x14ac:dyDescent="0.25"/>
    <row r="94" customFormat="1" ht="12.5" customHeight="1" x14ac:dyDescent="0.25"/>
    <row r="95" customFormat="1" ht="12.5" customHeight="1" x14ac:dyDescent="0.25"/>
    <row r="96" customFormat="1" ht="12.5" customHeight="1" x14ac:dyDescent="0.25"/>
    <row r="97" customFormat="1" ht="12.5" customHeight="1" x14ac:dyDescent="0.25"/>
    <row r="98" customFormat="1" ht="12.5" customHeight="1" x14ac:dyDescent="0.25"/>
    <row r="99" customFormat="1" ht="12.5" customHeight="1" x14ac:dyDescent="0.25"/>
    <row r="100" customFormat="1" ht="12.5" customHeight="1" x14ac:dyDescent="0.25"/>
    <row r="101" customFormat="1" ht="12.5" customHeight="1" x14ac:dyDescent="0.25"/>
    <row r="102" customFormat="1" ht="12.5" customHeight="1" x14ac:dyDescent="0.25"/>
    <row r="103" customFormat="1" ht="12.5" customHeight="1" x14ac:dyDescent="0.25"/>
    <row r="104" customFormat="1" ht="12.5" customHeight="1" x14ac:dyDescent="0.25"/>
    <row r="105" customFormat="1" ht="12.5" customHeight="1" x14ac:dyDescent="0.25"/>
    <row r="106" customFormat="1" ht="12.5" customHeight="1" x14ac:dyDescent="0.25"/>
    <row r="107" customFormat="1" ht="12.5" customHeight="1" x14ac:dyDescent="0.25"/>
    <row r="108" customFormat="1" ht="12.5" customHeight="1" x14ac:dyDescent="0.25"/>
    <row r="109" customFormat="1" ht="12.5" customHeight="1" x14ac:dyDescent="0.25"/>
    <row r="110" customFormat="1" ht="12.5" customHeight="1" x14ac:dyDescent="0.25"/>
    <row r="111" customFormat="1" ht="12.5" customHeight="1" x14ac:dyDescent="0.25"/>
    <row r="112" customFormat="1" ht="12.5" customHeight="1" x14ac:dyDescent="0.25"/>
    <row r="113" customFormat="1" ht="12.5" customHeight="1" x14ac:dyDescent="0.25"/>
    <row r="114" customFormat="1" ht="12.5" customHeight="1" x14ac:dyDescent="0.25"/>
    <row r="115" customFormat="1" ht="12.5" customHeight="1" x14ac:dyDescent="0.25"/>
    <row r="116" customFormat="1" ht="12.5" customHeight="1" x14ac:dyDescent="0.25"/>
    <row r="117" customFormat="1" ht="12.5" customHeight="1" x14ac:dyDescent="0.25"/>
    <row r="118" customFormat="1" ht="12.5" customHeight="1" x14ac:dyDescent="0.25"/>
    <row r="119" customFormat="1" ht="12.5" customHeight="1" x14ac:dyDescent="0.25"/>
    <row r="120" customFormat="1" ht="12.5" customHeight="1" x14ac:dyDescent="0.25"/>
    <row r="121" customFormat="1" ht="12.5" customHeight="1" x14ac:dyDescent="0.25"/>
    <row r="122" customFormat="1" ht="12.5" customHeight="1" x14ac:dyDescent="0.25"/>
    <row r="123" customFormat="1" ht="12.5" customHeight="1" x14ac:dyDescent="0.25"/>
    <row r="124" customFormat="1" ht="12.5" customHeight="1" x14ac:dyDescent="0.25"/>
    <row r="125" customFormat="1" ht="12.5" customHeight="1" x14ac:dyDescent="0.25"/>
    <row r="126" customFormat="1" ht="12.5" customHeight="1" x14ac:dyDescent="0.25"/>
    <row r="127" customFormat="1" ht="12.5" customHeight="1" x14ac:dyDescent="0.25"/>
    <row r="128" customFormat="1" ht="12.5" customHeight="1" x14ac:dyDescent="0.25"/>
    <row r="129" customFormat="1" ht="12.5" customHeight="1" x14ac:dyDescent="0.25"/>
    <row r="130" customFormat="1" ht="12.5" customHeight="1" x14ac:dyDescent="0.25"/>
    <row r="131" customFormat="1" ht="12.5" customHeight="1" x14ac:dyDescent="0.25"/>
    <row r="132" customFormat="1" ht="12.5" customHeight="1" x14ac:dyDescent="0.25"/>
    <row r="133" customFormat="1" ht="12.5" customHeight="1" x14ac:dyDescent="0.25"/>
    <row r="134" customFormat="1" ht="12.5" customHeight="1" x14ac:dyDescent="0.25"/>
    <row r="135" customFormat="1" ht="12.5" customHeight="1" x14ac:dyDescent="0.25"/>
    <row r="136" customFormat="1" ht="12.5" customHeight="1" x14ac:dyDescent="0.25"/>
    <row r="137" customFormat="1" ht="12.5" customHeight="1" x14ac:dyDescent="0.25"/>
    <row r="138" customFormat="1" ht="12.5" customHeight="1" x14ac:dyDescent="0.25"/>
    <row r="139" customFormat="1" ht="12.5" customHeight="1" x14ac:dyDescent="0.25"/>
    <row r="140" customFormat="1" ht="12.5" customHeight="1" x14ac:dyDescent="0.25"/>
    <row r="141" customFormat="1" ht="12.5" customHeight="1" x14ac:dyDescent="0.25"/>
    <row r="142" customFormat="1" ht="12.5" customHeight="1" x14ac:dyDescent="0.25"/>
    <row r="143" customFormat="1" ht="12.5" customHeight="1" x14ac:dyDescent="0.25"/>
    <row r="144" customFormat="1" ht="12.5" customHeight="1" x14ac:dyDescent="0.25"/>
    <row r="145" customFormat="1" ht="12.5" customHeight="1" x14ac:dyDescent="0.25"/>
    <row r="146" customFormat="1" ht="12.5" customHeight="1" x14ac:dyDescent="0.25"/>
    <row r="147" customFormat="1" ht="12.5" customHeight="1" x14ac:dyDescent="0.25"/>
    <row r="148" customFormat="1" ht="12.5" customHeight="1" x14ac:dyDescent="0.25"/>
    <row r="149" customFormat="1" ht="12.5" customHeight="1" x14ac:dyDescent="0.25"/>
    <row r="150" customFormat="1" ht="12.5" customHeight="1" x14ac:dyDescent="0.25"/>
    <row r="151" customFormat="1" ht="12.5" customHeight="1" x14ac:dyDescent="0.25"/>
    <row r="152" customFormat="1" ht="12.5" customHeight="1" x14ac:dyDescent="0.25"/>
    <row r="153" customFormat="1" ht="12.5" customHeight="1" x14ac:dyDescent="0.25"/>
    <row r="154" customFormat="1" ht="12.5" customHeight="1" x14ac:dyDescent="0.25"/>
    <row r="155" customFormat="1" ht="12.5" customHeight="1" x14ac:dyDescent="0.25"/>
    <row r="156" customFormat="1" ht="12.5" customHeight="1" x14ac:dyDescent="0.25"/>
    <row r="157" customFormat="1" ht="12.5" customHeight="1" x14ac:dyDescent="0.25"/>
    <row r="158" customFormat="1" ht="12.5" customHeight="1" x14ac:dyDescent="0.25"/>
    <row r="159" customFormat="1" ht="12.5" customHeight="1" x14ac:dyDescent="0.25"/>
    <row r="160" customFormat="1" ht="12.5" customHeight="1" x14ac:dyDescent="0.25"/>
    <row r="161" customFormat="1" ht="12.5" customHeight="1" x14ac:dyDescent="0.25"/>
    <row r="162" customFormat="1" ht="12.5" customHeight="1" x14ac:dyDescent="0.25"/>
    <row r="163" customFormat="1" ht="12.5" customHeight="1" x14ac:dyDescent="0.25"/>
    <row r="164" customFormat="1" ht="12.5" customHeight="1" x14ac:dyDescent="0.25"/>
    <row r="165" customFormat="1" ht="12.5" customHeight="1" x14ac:dyDescent="0.25"/>
    <row r="166" customFormat="1" ht="12.5" customHeight="1" x14ac:dyDescent="0.25"/>
    <row r="167" customFormat="1" ht="12.5" customHeight="1" x14ac:dyDescent="0.25"/>
    <row r="168" customFormat="1" ht="12.5" customHeight="1" x14ac:dyDescent="0.25"/>
    <row r="169" customFormat="1" ht="12.5" customHeight="1" x14ac:dyDescent="0.25"/>
    <row r="170" customFormat="1" ht="12.5" customHeight="1" x14ac:dyDescent="0.25"/>
    <row r="171" customFormat="1" ht="12.5" customHeight="1" x14ac:dyDescent="0.25"/>
    <row r="172" customFormat="1" ht="12.5" customHeight="1" x14ac:dyDescent="0.25"/>
    <row r="173" customFormat="1" ht="12.5" customHeight="1" x14ac:dyDescent="0.25"/>
    <row r="174" customFormat="1" ht="12.5" customHeight="1" x14ac:dyDescent="0.25"/>
    <row r="175" customFormat="1" ht="12.5" customHeight="1" x14ac:dyDescent="0.25"/>
    <row r="176" customFormat="1" ht="12.5" customHeight="1" x14ac:dyDescent="0.25"/>
    <row r="177" customFormat="1" ht="12.5" customHeight="1" x14ac:dyDescent="0.25"/>
    <row r="178" customFormat="1" ht="12.5" customHeight="1" x14ac:dyDescent="0.25"/>
    <row r="179" customFormat="1" ht="12.5" customHeight="1" x14ac:dyDescent="0.25"/>
    <row r="180" customFormat="1" ht="12.5" customHeight="1" x14ac:dyDescent="0.25"/>
    <row r="181" customFormat="1" ht="12.5" customHeight="1" x14ac:dyDescent="0.25"/>
    <row r="182" customFormat="1" ht="12.5" customHeight="1" x14ac:dyDescent="0.25"/>
    <row r="183" customFormat="1" ht="12.5" customHeight="1" x14ac:dyDescent="0.25"/>
    <row r="184" customFormat="1" ht="12.5" customHeight="1" x14ac:dyDescent="0.25"/>
    <row r="185" customFormat="1" ht="12.5" customHeight="1" x14ac:dyDescent="0.25"/>
    <row r="186" customFormat="1" ht="12.5" customHeight="1" x14ac:dyDescent="0.25"/>
    <row r="187" customFormat="1" ht="12.5" customHeight="1" x14ac:dyDescent="0.25"/>
    <row r="188" customFormat="1" ht="12.5" customHeight="1" x14ac:dyDescent="0.25"/>
    <row r="189" customFormat="1" ht="12.5" customHeight="1" x14ac:dyDescent="0.25"/>
    <row r="190" customFormat="1" ht="12.5" customHeight="1" x14ac:dyDescent="0.25"/>
    <row r="191" customFormat="1" ht="12.5" customHeight="1" x14ac:dyDescent="0.25"/>
    <row r="192" customFormat="1" ht="12.5" customHeight="1" x14ac:dyDescent="0.25"/>
    <row r="193" customFormat="1" ht="12.5" customHeight="1" x14ac:dyDescent="0.25"/>
    <row r="194" customFormat="1" ht="12.5" customHeight="1" x14ac:dyDescent="0.25"/>
    <row r="195" customFormat="1" ht="12.5" customHeight="1" x14ac:dyDescent="0.25"/>
    <row r="196" customFormat="1" ht="12.5" customHeight="1" x14ac:dyDescent="0.25"/>
    <row r="197" customFormat="1" ht="12.5" customHeight="1" x14ac:dyDescent="0.25"/>
    <row r="198" customFormat="1" ht="12.5" customHeight="1" x14ac:dyDescent="0.25"/>
    <row r="199" customFormat="1" ht="12.5" customHeight="1" x14ac:dyDescent="0.25"/>
    <row r="200" customFormat="1" ht="12.5" customHeight="1" x14ac:dyDescent="0.25"/>
    <row r="201" customFormat="1" ht="12.5" customHeight="1" x14ac:dyDescent="0.25"/>
    <row r="202" customFormat="1" ht="12.5" customHeight="1" x14ac:dyDescent="0.25"/>
    <row r="203" customFormat="1" ht="12.5" customHeight="1" x14ac:dyDescent="0.25"/>
    <row r="204" customFormat="1" ht="12.5" customHeight="1" x14ac:dyDescent="0.25"/>
    <row r="205" customFormat="1" ht="12.5" customHeight="1" x14ac:dyDescent="0.25"/>
    <row r="206" customFormat="1" ht="12.5" customHeight="1" x14ac:dyDescent="0.25"/>
    <row r="207" customFormat="1" ht="12.5" customHeight="1" x14ac:dyDescent="0.25"/>
    <row r="208" customFormat="1" ht="12.5" customHeight="1" x14ac:dyDescent="0.25"/>
    <row r="209" customFormat="1" ht="12.5" customHeight="1" x14ac:dyDescent="0.25"/>
    <row r="210" customFormat="1" ht="12.5" customHeight="1" x14ac:dyDescent="0.25"/>
    <row r="211" customFormat="1" ht="12.5" customHeight="1" x14ac:dyDescent="0.25"/>
    <row r="212" customFormat="1" ht="12.5" customHeight="1" x14ac:dyDescent="0.25"/>
    <row r="213" customFormat="1" ht="12.5" customHeight="1" x14ac:dyDescent="0.25"/>
    <row r="214" customFormat="1" ht="12.5" customHeight="1" x14ac:dyDescent="0.25"/>
    <row r="215" customFormat="1" ht="12.5" customHeight="1" x14ac:dyDescent="0.25"/>
    <row r="216" customFormat="1" ht="12.5" customHeight="1" x14ac:dyDescent="0.25"/>
    <row r="217" customFormat="1" ht="12.5" customHeight="1" x14ac:dyDescent="0.25"/>
    <row r="218" customFormat="1" ht="12.5" customHeight="1" x14ac:dyDescent="0.25"/>
    <row r="219" customFormat="1" ht="12.5" customHeight="1" x14ac:dyDescent="0.25"/>
    <row r="220" customFormat="1" ht="12.5" customHeight="1" x14ac:dyDescent="0.25"/>
    <row r="221" customFormat="1" ht="12.5" customHeight="1" x14ac:dyDescent="0.25"/>
    <row r="222" customFormat="1" ht="12.5" customHeight="1" x14ac:dyDescent="0.25"/>
    <row r="223" customFormat="1" ht="12.5" customHeight="1" x14ac:dyDescent="0.25"/>
    <row r="224" customFormat="1" ht="12.5" customHeight="1" x14ac:dyDescent="0.25"/>
    <row r="225" customFormat="1" ht="12.5" customHeight="1" x14ac:dyDescent="0.25"/>
    <row r="226" customFormat="1" ht="12.5" customHeight="1" x14ac:dyDescent="0.25"/>
    <row r="227" customFormat="1" ht="12.5" customHeight="1" x14ac:dyDescent="0.25"/>
    <row r="228" customFormat="1" ht="12.5" customHeight="1" x14ac:dyDescent="0.25"/>
    <row r="229" customFormat="1" ht="12.5" customHeight="1" x14ac:dyDescent="0.25"/>
    <row r="230" customFormat="1" ht="12.5" customHeight="1" x14ac:dyDescent="0.25"/>
    <row r="231" customFormat="1" ht="12.5" customHeight="1" x14ac:dyDescent="0.25"/>
    <row r="232" customFormat="1" ht="12.5" customHeight="1" x14ac:dyDescent="0.25"/>
    <row r="233" customFormat="1" ht="12.5" customHeight="1" x14ac:dyDescent="0.25"/>
    <row r="234" customFormat="1" ht="12.5" customHeight="1" x14ac:dyDescent="0.25"/>
    <row r="235" customFormat="1" ht="12.5" customHeight="1" x14ac:dyDescent="0.25"/>
    <row r="236" customFormat="1" ht="12.5" customHeight="1" x14ac:dyDescent="0.25"/>
    <row r="237" customFormat="1" ht="12.5" customHeight="1" x14ac:dyDescent="0.25"/>
    <row r="238" customFormat="1" ht="12.5" customHeight="1" x14ac:dyDescent="0.25"/>
    <row r="239" customFormat="1" ht="12.5" customHeight="1" x14ac:dyDescent="0.25"/>
    <row r="240" customFormat="1" ht="12.5" customHeight="1" x14ac:dyDescent="0.25"/>
    <row r="241" customFormat="1" ht="12.5" customHeight="1" x14ac:dyDescent="0.25"/>
    <row r="242" customFormat="1" ht="12.5" customHeight="1" x14ac:dyDescent="0.25"/>
    <row r="243" customFormat="1" ht="12.5" customHeight="1" x14ac:dyDescent="0.25"/>
    <row r="244" customFormat="1" ht="12.5" customHeight="1" x14ac:dyDescent="0.25"/>
    <row r="245" customFormat="1" ht="12.5" customHeight="1" x14ac:dyDescent="0.25"/>
    <row r="246" customFormat="1" ht="12.5" customHeight="1" x14ac:dyDescent="0.25"/>
    <row r="247" customFormat="1" ht="12.5" customHeight="1" x14ac:dyDescent="0.25"/>
    <row r="248" customFormat="1" ht="12.5" customHeight="1" x14ac:dyDescent="0.25"/>
    <row r="249" customFormat="1" ht="12.5" customHeight="1" x14ac:dyDescent="0.25"/>
    <row r="250" customFormat="1" ht="12.5" customHeight="1" x14ac:dyDescent="0.25"/>
    <row r="251" customFormat="1" ht="12.5" customHeight="1" x14ac:dyDescent="0.25"/>
    <row r="252" customFormat="1" ht="12.5" customHeight="1" x14ac:dyDescent="0.25"/>
    <row r="253" customFormat="1" ht="12.5" customHeight="1" x14ac:dyDescent="0.25"/>
    <row r="254" customFormat="1" ht="12.5" customHeight="1" x14ac:dyDescent="0.25"/>
    <row r="255" customFormat="1" ht="12.5" customHeight="1" x14ac:dyDescent="0.25"/>
    <row r="256" customFormat="1" ht="12.5" customHeight="1" x14ac:dyDescent="0.25"/>
    <row r="257" customFormat="1" ht="12.5" customHeight="1" x14ac:dyDescent="0.25"/>
    <row r="258" customFormat="1" ht="12.5" customHeight="1" x14ac:dyDescent="0.25"/>
    <row r="259" customFormat="1" ht="12.5" customHeight="1" x14ac:dyDescent="0.25"/>
    <row r="260" customFormat="1" ht="12.5" customHeight="1" x14ac:dyDescent="0.25"/>
    <row r="261" customFormat="1" ht="12.5" customHeight="1" x14ac:dyDescent="0.25"/>
    <row r="262" customFormat="1" ht="12.5" customHeight="1" x14ac:dyDescent="0.25"/>
    <row r="263" customFormat="1" ht="12.5" customHeight="1" x14ac:dyDescent="0.25"/>
    <row r="264" customFormat="1" ht="12.5" customHeight="1" x14ac:dyDescent="0.25"/>
    <row r="265" customFormat="1" ht="12.5" customHeight="1" x14ac:dyDescent="0.25"/>
    <row r="266" customFormat="1" ht="12.5" customHeight="1" x14ac:dyDescent="0.25"/>
    <row r="267" customFormat="1" ht="12.5" customHeight="1" x14ac:dyDescent="0.25"/>
    <row r="268" customFormat="1" ht="12.5" customHeight="1" x14ac:dyDescent="0.25"/>
    <row r="269" customFormat="1" ht="12.5" customHeight="1" x14ac:dyDescent="0.25"/>
    <row r="270" customFormat="1" ht="12.5" customHeight="1" x14ac:dyDescent="0.25"/>
    <row r="271" customFormat="1" ht="12.5" customHeight="1" x14ac:dyDescent="0.25"/>
    <row r="272" customFormat="1" ht="12.5" customHeight="1" x14ac:dyDescent="0.25"/>
    <row r="273" customFormat="1" ht="12.5" customHeight="1" x14ac:dyDescent="0.25"/>
    <row r="274" customFormat="1" ht="12.5" customHeight="1" x14ac:dyDescent="0.25"/>
    <row r="275" customFormat="1" ht="12.5" customHeight="1" x14ac:dyDescent="0.25"/>
    <row r="276" customFormat="1" ht="12.5" customHeight="1" x14ac:dyDescent="0.25"/>
    <row r="277" customFormat="1" ht="12.5" customHeight="1" x14ac:dyDescent="0.25"/>
    <row r="278" customFormat="1" ht="12.5" customHeight="1" x14ac:dyDescent="0.25"/>
    <row r="279" customFormat="1" ht="12.5" customHeight="1" x14ac:dyDescent="0.25"/>
    <row r="280" customFormat="1" ht="12.5" customHeight="1" x14ac:dyDescent="0.25"/>
    <row r="281" customFormat="1" ht="12.5" customHeight="1" x14ac:dyDescent="0.25"/>
    <row r="282" customFormat="1" ht="12.5" customHeight="1" x14ac:dyDescent="0.25"/>
    <row r="283" customFormat="1" ht="12.5" customHeight="1" x14ac:dyDescent="0.25"/>
    <row r="284" customFormat="1" ht="12.5" customHeight="1" x14ac:dyDescent="0.25"/>
    <row r="285" customFormat="1" ht="12.5" customHeight="1" x14ac:dyDescent="0.25"/>
    <row r="286" customFormat="1" ht="12.5" customHeight="1" x14ac:dyDescent="0.25"/>
    <row r="287" customFormat="1" ht="12.5" customHeight="1" x14ac:dyDescent="0.25"/>
    <row r="288" customFormat="1" ht="12.5" customHeight="1" x14ac:dyDescent="0.25"/>
    <row r="289" customFormat="1" ht="12.5" customHeight="1" x14ac:dyDescent="0.25"/>
    <row r="290" customFormat="1" ht="12.5" customHeight="1" x14ac:dyDescent="0.25"/>
    <row r="291" customFormat="1" ht="12.5" customHeight="1" x14ac:dyDescent="0.25"/>
    <row r="292" customFormat="1" ht="12.5" customHeight="1" x14ac:dyDescent="0.25"/>
    <row r="293" customFormat="1" ht="12.5" customHeight="1" x14ac:dyDescent="0.25"/>
    <row r="294" customFormat="1" ht="12.5" customHeight="1" x14ac:dyDescent="0.25"/>
    <row r="295" customFormat="1" ht="12.5" customHeight="1" x14ac:dyDescent="0.25"/>
    <row r="296" customFormat="1" ht="12.5" customHeight="1" x14ac:dyDescent="0.25"/>
    <row r="297" customFormat="1" ht="12.5" customHeight="1" x14ac:dyDescent="0.25"/>
    <row r="298" customFormat="1" ht="12.5" customHeight="1" x14ac:dyDescent="0.25"/>
    <row r="299" customFormat="1" ht="12.5" customHeight="1" x14ac:dyDescent="0.25"/>
    <row r="300" customFormat="1" ht="12.5" customHeight="1" x14ac:dyDescent="0.25"/>
    <row r="301" customFormat="1" ht="12.5" customHeight="1" x14ac:dyDescent="0.25"/>
    <row r="302" customFormat="1" ht="12.5" customHeight="1" x14ac:dyDescent="0.25"/>
    <row r="303" customFormat="1" ht="12.5" customHeight="1" x14ac:dyDescent="0.25"/>
    <row r="304" customFormat="1" ht="12.5" customHeight="1" x14ac:dyDescent="0.25"/>
    <row r="305" customFormat="1" ht="12.5" customHeight="1" x14ac:dyDescent="0.25"/>
    <row r="306" customFormat="1" ht="12.5" customHeight="1" x14ac:dyDescent="0.25"/>
    <row r="307" customFormat="1" ht="12.5" customHeight="1" x14ac:dyDescent="0.25"/>
    <row r="308" customFormat="1" ht="12.5" customHeight="1" x14ac:dyDescent="0.25"/>
    <row r="309" customFormat="1" ht="12.5" customHeight="1" x14ac:dyDescent="0.25"/>
    <row r="310" customFormat="1" ht="12.5" customHeight="1" x14ac:dyDescent="0.25"/>
    <row r="311" customFormat="1" ht="12.5" customHeight="1" x14ac:dyDescent="0.25"/>
    <row r="312" customFormat="1" ht="12.5" customHeight="1" x14ac:dyDescent="0.25"/>
    <row r="313" customFormat="1" ht="12.5" customHeight="1" x14ac:dyDescent="0.25"/>
    <row r="314" customFormat="1" ht="12.5" customHeight="1" x14ac:dyDescent="0.25"/>
    <row r="315" customFormat="1" ht="12.5" customHeight="1" x14ac:dyDescent="0.25"/>
    <row r="316" customFormat="1" ht="12.5" customHeight="1" x14ac:dyDescent="0.25"/>
    <row r="317" customFormat="1" ht="12.5" customHeight="1" x14ac:dyDescent="0.25"/>
    <row r="318" customFormat="1" ht="12.5" customHeight="1" x14ac:dyDescent="0.25"/>
    <row r="319" customFormat="1" ht="12.5" customHeight="1" x14ac:dyDescent="0.25"/>
    <row r="320" customFormat="1" ht="12.5" customHeight="1" x14ac:dyDescent="0.25"/>
    <row r="321" customFormat="1" ht="12.5" customHeight="1" x14ac:dyDescent="0.25"/>
    <row r="322" customFormat="1" ht="12.5" customHeight="1" x14ac:dyDescent="0.25"/>
    <row r="323" customFormat="1" ht="12.5" customHeight="1" x14ac:dyDescent="0.25"/>
    <row r="324" customFormat="1" ht="12.5" customHeight="1" x14ac:dyDescent="0.25"/>
    <row r="325" customFormat="1" ht="12.5" customHeight="1" x14ac:dyDescent="0.25"/>
    <row r="326" customFormat="1" ht="12.5" customHeight="1" x14ac:dyDescent="0.25"/>
    <row r="327" customFormat="1" ht="12.5" customHeight="1" x14ac:dyDescent="0.25"/>
    <row r="328" customFormat="1" ht="12.5" customHeight="1" x14ac:dyDescent="0.25"/>
    <row r="329" customFormat="1" ht="12.5" customHeight="1" x14ac:dyDescent="0.25"/>
    <row r="330" customFormat="1" ht="12.5" customHeight="1" x14ac:dyDescent="0.25"/>
    <row r="331" customFormat="1" ht="12.5" customHeight="1" x14ac:dyDescent="0.25"/>
    <row r="332" customFormat="1" ht="12.5" customHeight="1" x14ac:dyDescent="0.25"/>
    <row r="333" customFormat="1" ht="12.5" customHeight="1" x14ac:dyDescent="0.25"/>
    <row r="334" customFormat="1" ht="12.5" customHeight="1" x14ac:dyDescent="0.25"/>
    <row r="335" customFormat="1" ht="12.5" customHeight="1" x14ac:dyDescent="0.25"/>
    <row r="336" customFormat="1" ht="12.5" customHeight="1" x14ac:dyDescent="0.25"/>
    <row r="337" customFormat="1" ht="12.5" customHeight="1" x14ac:dyDescent="0.25"/>
    <row r="338" customFormat="1" ht="12.5" customHeight="1" x14ac:dyDescent="0.25"/>
    <row r="339" customFormat="1" ht="12.5" customHeight="1" x14ac:dyDescent="0.25"/>
    <row r="340" customFormat="1" ht="12.5" customHeight="1" x14ac:dyDescent="0.25"/>
    <row r="341" customFormat="1" ht="12.5" customHeight="1" x14ac:dyDescent="0.25"/>
    <row r="342" customFormat="1" ht="12.5" customHeight="1" x14ac:dyDescent="0.25"/>
    <row r="343" customFormat="1" ht="12.5" customHeight="1" x14ac:dyDescent="0.25"/>
    <row r="344" customFormat="1" ht="12.5" customHeight="1" x14ac:dyDescent="0.25"/>
    <row r="345" customFormat="1" ht="12.5" customHeight="1" x14ac:dyDescent="0.25"/>
    <row r="346" customFormat="1" ht="12.5" customHeight="1" x14ac:dyDescent="0.25"/>
    <row r="347" customFormat="1" ht="12.5" customHeight="1" x14ac:dyDescent="0.25"/>
    <row r="348" customFormat="1" ht="12.5" customHeight="1" x14ac:dyDescent="0.25"/>
    <row r="349" customFormat="1" ht="12.5" customHeight="1" x14ac:dyDescent="0.25"/>
    <row r="350" customFormat="1" ht="12.5" customHeight="1" x14ac:dyDescent="0.25"/>
    <row r="351" customFormat="1" ht="12.5" customHeight="1" x14ac:dyDescent="0.25"/>
    <row r="352" customFormat="1" ht="12.5" customHeight="1" x14ac:dyDescent="0.25"/>
    <row r="353" customFormat="1" ht="12.5" customHeight="1" x14ac:dyDescent="0.25"/>
    <row r="354" customFormat="1" ht="12.5" customHeight="1" x14ac:dyDescent="0.25"/>
    <row r="355" customFormat="1" ht="12.5" customHeight="1" x14ac:dyDescent="0.25"/>
    <row r="356" customFormat="1" ht="12.5" customHeight="1" x14ac:dyDescent="0.25"/>
    <row r="357" customFormat="1" ht="12.5" customHeight="1" x14ac:dyDescent="0.25"/>
    <row r="358" customFormat="1" ht="12.5" customHeight="1" x14ac:dyDescent="0.25"/>
    <row r="359" customFormat="1" ht="12.5" customHeight="1" x14ac:dyDescent="0.25"/>
    <row r="360" customFormat="1" ht="12.5" customHeight="1" x14ac:dyDescent="0.25"/>
    <row r="361" customFormat="1" ht="12.5" customHeight="1" x14ac:dyDescent="0.25"/>
    <row r="362" customFormat="1" ht="12.5" customHeight="1" x14ac:dyDescent="0.25"/>
    <row r="363" customFormat="1" ht="12.5" customHeight="1" x14ac:dyDescent="0.25"/>
    <row r="364" customFormat="1" ht="12.5" customHeight="1" x14ac:dyDescent="0.25"/>
    <row r="365" customFormat="1" ht="12.5" customHeight="1" x14ac:dyDescent="0.25"/>
    <row r="366" customFormat="1" ht="12.5" customHeight="1" x14ac:dyDescent="0.25"/>
    <row r="367" customFormat="1" ht="12.5" customHeight="1" x14ac:dyDescent="0.25"/>
    <row r="368" customFormat="1" ht="12.5" customHeight="1" x14ac:dyDescent="0.25"/>
    <row r="369" customFormat="1" ht="12.5" customHeight="1" x14ac:dyDescent="0.25"/>
    <row r="370" customFormat="1" ht="12.5" customHeight="1" x14ac:dyDescent="0.25"/>
    <row r="371" customFormat="1" ht="12.5" customHeight="1" x14ac:dyDescent="0.25"/>
    <row r="372" customFormat="1" ht="12.5" customHeight="1" x14ac:dyDescent="0.25"/>
    <row r="373" customFormat="1" ht="12.5" customHeight="1" x14ac:dyDescent="0.25"/>
    <row r="374" customFormat="1" ht="12.5" customHeight="1" x14ac:dyDescent="0.25"/>
    <row r="375" customFormat="1" ht="12.5" customHeight="1" x14ac:dyDescent="0.25"/>
    <row r="376" customFormat="1" ht="12.5" customHeight="1" x14ac:dyDescent="0.25"/>
    <row r="377" customFormat="1" ht="12.5" customHeight="1" x14ac:dyDescent="0.25"/>
    <row r="378" customFormat="1" ht="12.5" customHeight="1" x14ac:dyDescent="0.25"/>
    <row r="379" customFormat="1" ht="12.5" customHeight="1" x14ac:dyDescent="0.25"/>
    <row r="380" customFormat="1" ht="12.5" customHeight="1" x14ac:dyDescent="0.25"/>
    <row r="381" customFormat="1" ht="12.5" customHeight="1" x14ac:dyDescent="0.25"/>
    <row r="382" customFormat="1" ht="12.5" customHeight="1" x14ac:dyDescent="0.25"/>
    <row r="383" customFormat="1" ht="12.5" customHeight="1" x14ac:dyDescent="0.25"/>
    <row r="384" customFormat="1" ht="12.5" customHeight="1" x14ac:dyDescent="0.25"/>
    <row r="385" customFormat="1" ht="12.5" customHeight="1" x14ac:dyDescent="0.25"/>
    <row r="386" customFormat="1" ht="12.5" customHeight="1" x14ac:dyDescent="0.25"/>
    <row r="387" customFormat="1" ht="12.5" customHeight="1" x14ac:dyDescent="0.25"/>
    <row r="388" customFormat="1" ht="12.5" customHeight="1" x14ac:dyDescent="0.25"/>
    <row r="389" customFormat="1" ht="12.5" customHeight="1" x14ac:dyDescent="0.25"/>
    <row r="390" customFormat="1" ht="12.5" customHeight="1" x14ac:dyDescent="0.25"/>
    <row r="391" customFormat="1" ht="12.5" customHeight="1" x14ac:dyDescent="0.25"/>
    <row r="392" customFormat="1" ht="12.5" customHeight="1" x14ac:dyDescent="0.25"/>
    <row r="393" customFormat="1" ht="12.5" customHeight="1" x14ac:dyDescent="0.25"/>
    <row r="394" customFormat="1" ht="12.5" customHeight="1" x14ac:dyDescent="0.25"/>
    <row r="395" customFormat="1" ht="12.5" customHeight="1" x14ac:dyDescent="0.25"/>
    <row r="396" customFormat="1" ht="12.5" customHeight="1" x14ac:dyDescent="0.25"/>
    <row r="397" customFormat="1" ht="12.5" customHeight="1" x14ac:dyDescent="0.25"/>
    <row r="398" customFormat="1" ht="12.5" customHeight="1" x14ac:dyDescent="0.25"/>
    <row r="399" customFormat="1" ht="12.5" customHeight="1" x14ac:dyDescent="0.25"/>
    <row r="400" customFormat="1" ht="12.5" customHeight="1" x14ac:dyDescent="0.25"/>
    <row r="401" customFormat="1" ht="12.5" customHeight="1" x14ac:dyDescent="0.25"/>
    <row r="402" customFormat="1" ht="12.5" customHeight="1" x14ac:dyDescent="0.25"/>
    <row r="403" customFormat="1" ht="12.5" customHeight="1" x14ac:dyDescent="0.25"/>
    <row r="404" customFormat="1" ht="12.5" customHeight="1" x14ac:dyDescent="0.25"/>
    <row r="405" customFormat="1" ht="12.5" customHeight="1" x14ac:dyDescent="0.25"/>
    <row r="406" customFormat="1" ht="12.5" customHeight="1" x14ac:dyDescent="0.25"/>
    <row r="407" customFormat="1" ht="12.5" customHeight="1" x14ac:dyDescent="0.25"/>
    <row r="408" customFormat="1" ht="12.5" customHeight="1" x14ac:dyDescent="0.25"/>
    <row r="409" customFormat="1" ht="12.5" customHeight="1" x14ac:dyDescent="0.25"/>
    <row r="410" customFormat="1" ht="12.5" customHeight="1" x14ac:dyDescent="0.25"/>
    <row r="411" customFormat="1" ht="12.5" customHeight="1" x14ac:dyDescent="0.25"/>
    <row r="412" customFormat="1" ht="12.5" customHeight="1" x14ac:dyDescent="0.25"/>
    <row r="413" customFormat="1" ht="12.5" customHeight="1" x14ac:dyDescent="0.25"/>
    <row r="414" customFormat="1" ht="12.5" customHeight="1" x14ac:dyDescent="0.25"/>
    <row r="415" customFormat="1" ht="12.5" customHeight="1" x14ac:dyDescent="0.25"/>
    <row r="416" customFormat="1" ht="12.5" customHeight="1" x14ac:dyDescent="0.25"/>
    <row r="417" customFormat="1" ht="12.5" customHeight="1" x14ac:dyDescent="0.25"/>
    <row r="418" customFormat="1" ht="12.5" customHeight="1" x14ac:dyDescent="0.25"/>
    <row r="419" customFormat="1" ht="12.5" customHeight="1" x14ac:dyDescent="0.25"/>
    <row r="420" customFormat="1" ht="12.5" customHeight="1" x14ac:dyDescent="0.25"/>
    <row r="421" customFormat="1" ht="12.5" customHeight="1" x14ac:dyDescent="0.25"/>
    <row r="422" customFormat="1" ht="12.5" customHeight="1" x14ac:dyDescent="0.25"/>
    <row r="423" customFormat="1" ht="12.5" customHeight="1" x14ac:dyDescent="0.25"/>
    <row r="424" customFormat="1" ht="12.5" customHeight="1" x14ac:dyDescent="0.25"/>
    <row r="425" customFormat="1" ht="12.5" customHeight="1" x14ac:dyDescent="0.25"/>
    <row r="426" customFormat="1" ht="12.5" customHeight="1" x14ac:dyDescent="0.25"/>
    <row r="427" customFormat="1" ht="12.5" customHeight="1" x14ac:dyDescent="0.25"/>
    <row r="428" customFormat="1" ht="12.5" customHeight="1" x14ac:dyDescent="0.25"/>
    <row r="429" customFormat="1" ht="12.5" customHeight="1" x14ac:dyDescent="0.25"/>
    <row r="430" customFormat="1" ht="12.5" customHeight="1" x14ac:dyDescent="0.25"/>
    <row r="431" customFormat="1" ht="12.5" customHeight="1" x14ac:dyDescent="0.25"/>
    <row r="432" customFormat="1" ht="12.5" customHeight="1" x14ac:dyDescent="0.25"/>
    <row r="433" customFormat="1" ht="12.5" customHeight="1" x14ac:dyDescent="0.25"/>
    <row r="434" customFormat="1" ht="12.5" customHeight="1" x14ac:dyDescent="0.25"/>
    <row r="435" customFormat="1" ht="12.5" customHeight="1" x14ac:dyDescent="0.25"/>
    <row r="436" customFormat="1" ht="12.5" customHeight="1" x14ac:dyDescent="0.25"/>
    <row r="437" customFormat="1" ht="12.5" customHeight="1" x14ac:dyDescent="0.25"/>
    <row r="438" customFormat="1" ht="12.5" customHeight="1" x14ac:dyDescent="0.25"/>
    <row r="439" customFormat="1" ht="12.5" customHeight="1" x14ac:dyDescent="0.25"/>
    <row r="440" customFormat="1" ht="12.5" customHeight="1" x14ac:dyDescent="0.25"/>
    <row r="441" customFormat="1" ht="12.5" customHeight="1" x14ac:dyDescent="0.25"/>
    <row r="442" customFormat="1" ht="12.5" customHeight="1" x14ac:dyDescent="0.25"/>
    <row r="443" customFormat="1" ht="12.5" customHeight="1" x14ac:dyDescent="0.25"/>
    <row r="444" customFormat="1" ht="12.5" customHeight="1" x14ac:dyDescent="0.25"/>
    <row r="445" customFormat="1" ht="12.5" customHeight="1" x14ac:dyDescent="0.25"/>
    <row r="446" customFormat="1" ht="12.5" customHeight="1" x14ac:dyDescent="0.25"/>
    <row r="447" customFormat="1" ht="12.5" customHeight="1" x14ac:dyDescent="0.25"/>
    <row r="448" customFormat="1" ht="12.5" customHeight="1" x14ac:dyDescent="0.25"/>
    <row r="449" customFormat="1" ht="12.5" customHeight="1" x14ac:dyDescent="0.25"/>
    <row r="450" customFormat="1" ht="12.5" customHeight="1" x14ac:dyDescent="0.25"/>
    <row r="451" customFormat="1" ht="12.5" customHeight="1" x14ac:dyDescent="0.25"/>
    <row r="452" customFormat="1" ht="12.5" customHeight="1" x14ac:dyDescent="0.25"/>
    <row r="453" customFormat="1" ht="12.5" customHeight="1" x14ac:dyDescent="0.25"/>
    <row r="454" customFormat="1" ht="12.5" customHeight="1" x14ac:dyDescent="0.25"/>
    <row r="455" customFormat="1" ht="12.5" customHeight="1" x14ac:dyDescent="0.25"/>
    <row r="456" customFormat="1" ht="12.5" customHeight="1" x14ac:dyDescent="0.25"/>
    <row r="457" customFormat="1" ht="12.5" customHeight="1" x14ac:dyDescent="0.25"/>
    <row r="458" customFormat="1" ht="12.5" customHeight="1" x14ac:dyDescent="0.25"/>
    <row r="459" customFormat="1" ht="12.5" customHeight="1" x14ac:dyDescent="0.25"/>
    <row r="460" customFormat="1" ht="12.5" customHeight="1" x14ac:dyDescent="0.25"/>
    <row r="461" customFormat="1" ht="12.5" customHeight="1" x14ac:dyDescent="0.25"/>
    <row r="462" customFormat="1" ht="12.5" customHeight="1" x14ac:dyDescent="0.25"/>
    <row r="463" customFormat="1" ht="12.5" customHeight="1" x14ac:dyDescent="0.25"/>
    <row r="464" customFormat="1" ht="12.5" customHeight="1" x14ac:dyDescent="0.25"/>
    <row r="465" customFormat="1" ht="12.5" customHeight="1" x14ac:dyDescent="0.25"/>
    <row r="466" customFormat="1" ht="12.5" customHeight="1" x14ac:dyDescent="0.25"/>
    <row r="467" customFormat="1" ht="12.5" customHeight="1" x14ac:dyDescent="0.25"/>
    <row r="468" customFormat="1" ht="12.5" customHeight="1" x14ac:dyDescent="0.25"/>
    <row r="469" customFormat="1" ht="12.5" customHeight="1" x14ac:dyDescent="0.25"/>
    <row r="470" customFormat="1" ht="12.5" customHeight="1" x14ac:dyDescent="0.25"/>
    <row r="471" customFormat="1" ht="12.5" customHeight="1" x14ac:dyDescent="0.25"/>
    <row r="472" customFormat="1" ht="12.5" customHeight="1" x14ac:dyDescent="0.25"/>
    <row r="473" customFormat="1" ht="12.5" customHeight="1" x14ac:dyDescent="0.25"/>
    <row r="474" customFormat="1" ht="12.5" customHeight="1" x14ac:dyDescent="0.25"/>
    <row r="475" customFormat="1" ht="12.5" customHeight="1" x14ac:dyDescent="0.25"/>
    <row r="476" customFormat="1" ht="12.5" customHeight="1" x14ac:dyDescent="0.25"/>
    <row r="477" customFormat="1" ht="12.5" customHeight="1" x14ac:dyDescent="0.25"/>
    <row r="478" customFormat="1" ht="12.5" customHeight="1" x14ac:dyDescent="0.25"/>
    <row r="479" customFormat="1" ht="12.5" customHeight="1" x14ac:dyDescent="0.25"/>
    <row r="480" customFormat="1" ht="12.5" customHeight="1" x14ac:dyDescent="0.25"/>
    <row r="481" customFormat="1" ht="12.5" customHeight="1" x14ac:dyDescent="0.25"/>
    <row r="482" customFormat="1" ht="12.5" customHeight="1" x14ac:dyDescent="0.25"/>
    <row r="483" customFormat="1" ht="12.5" customHeight="1" x14ac:dyDescent="0.25"/>
    <row r="484" customFormat="1" ht="12.5" customHeight="1" x14ac:dyDescent="0.25"/>
    <row r="485" customFormat="1" ht="12.5" customHeight="1" x14ac:dyDescent="0.25"/>
    <row r="486" customFormat="1" ht="12.5" customHeight="1" x14ac:dyDescent="0.25"/>
    <row r="487" customFormat="1" ht="12.5" customHeight="1" x14ac:dyDescent="0.25"/>
    <row r="488" customFormat="1" ht="12.5" customHeight="1" x14ac:dyDescent="0.25"/>
    <row r="489" customFormat="1" ht="12.5" customHeight="1" x14ac:dyDescent="0.25"/>
    <row r="490" customFormat="1" ht="12.5" customHeight="1" x14ac:dyDescent="0.25"/>
    <row r="491" customFormat="1" ht="12.5" customHeight="1" x14ac:dyDescent="0.25"/>
    <row r="492" customFormat="1" ht="12.5" customHeight="1" x14ac:dyDescent="0.25"/>
    <row r="493" customFormat="1" ht="12.5" customHeight="1" x14ac:dyDescent="0.25"/>
    <row r="494" customFormat="1" ht="12.5" customHeight="1" x14ac:dyDescent="0.25"/>
    <row r="495" customFormat="1" ht="12.5" customHeight="1" x14ac:dyDescent="0.25"/>
    <row r="496" customFormat="1" ht="12.5" customHeight="1" x14ac:dyDescent="0.25"/>
    <row r="497" customFormat="1" ht="12.5" customHeight="1" x14ac:dyDescent="0.25"/>
    <row r="498" customFormat="1" ht="12.5" customHeight="1" x14ac:dyDescent="0.25"/>
    <row r="499" customFormat="1" ht="12.5" customHeight="1" x14ac:dyDescent="0.25"/>
    <row r="500" customFormat="1" ht="12.5" customHeight="1" x14ac:dyDescent="0.25"/>
    <row r="501" customFormat="1" ht="12.5" customHeight="1" x14ac:dyDescent="0.25"/>
    <row r="502" customFormat="1" ht="12.5" customHeight="1" x14ac:dyDescent="0.25"/>
    <row r="503" customFormat="1" ht="12.5" customHeight="1" x14ac:dyDescent="0.25"/>
    <row r="504" customFormat="1" ht="12.5" customHeight="1" x14ac:dyDescent="0.25"/>
    <row r="505" customFormat="1" ht="12.5" customHeight="1" x14ac:dyDescent="0.25"/>
    <row r="506" customFormat="1" ht="12.5" customHeight="1" x14ac:dyDescent="0.25"/>
    <row r="507" customFormat="1" ht="12.5" customHeight="1" x14ac:dyDescent="0.25"/>
    <row r="508" customFormat="1" ht="12.5" customHeight="1" x14ac:dyDescent="0.25"/>
    <row r="509" customFormat="1" ht="12.5" customHeight="1" x14ac:dyDescent="0.25"/>
    <row r="510" customFormat="1" ht="12.5" customHeight="1" x14ac:dyDescent="0.25"/>
    <row r="511" customFormat="1" ht="12.5" customHeight="1" x14ac:dyDescent="0.25"/>
    <row r="512" customFormat="1" ht="12.5" customHeight="1" x14ac:dyDescent="0.25"/>
    <row r="513" customFormat="1" ht="12.5" customHeight="1" x14ac:dyDescent="0.25"/>
    <row r="514" customFormat="1" ht="12.5" customHeight="1" x14ac:dyDescent="0.25"/>
    <row r="515" customFormat="1" ht="12.5" customHeight="1" x14ac:dyDescent="0.25"/>
    <row r="516" customFormat="1" ht="12.5" customHeight="1" x14ac:dyDescent="0.25"/>
    <row r="517" customFormat="1" ht="12.5" customHeight="1" x14ac:dyDescent="0.25"/>
    <row r="518" customFormat="1" ht="12.5" customHeight="1" x14ac:dyDescent="0.25"/>
    <row r="519" customFormat="1" ht="12.5" customHeight="1" x14ac:dyDescent="0.25"/>
    <row r="520" customFormat="1" ht="12.5" customHeight="1" x14ac:dyDescent="0.25"/>
    <row r="521" customFormat="1" ht="12.5" customHeight="1" x14ac:dyDescent="0.25"/>
    <row r="522" customFormat="1" ht="12.5" customHeight="1" x14ac:dyDescent="0.25"/>
    <row r="523" customFormat="1" ht="12.5" customHeight="1" x14ac:dyDescent="0.25"/>
    <row r="524" customFormat="1" ht="12.5" customHeight="1" x14ac:dyDescent="0.25"/>
    <row r="525" customFormat="1" ht="12.5" customHeight="1" x14ac:dyDescent="0.25"/>
    <row r="526" customFormat="1" ht="12.5" customHeight="1" x14ac:dyDescent="0.25"/>
    <row r="527" customFormat="1" ht="12.5" customHeight="1" x14ac:dyDescent="0.25"/>
    <row r="528" customFormat="1" ht="12.5" customHeight="1" x14ac:dyDescent="0.25"/>
    <row r="529" customFormat="1" ht="12.5" customHeight="1" x14ac:dyDescent="0.25"/>
    <row r="530" customFormat="1" ht="12.5" customHeight="1" x14ac:dyDescent="0.25"/>
    <row r="531" customFormat="1" ht="12.5" customHeight="1" x14ac:dyDescent="0.25"/>
    <row r="532" customFormat="1" ht="12.5" customHeight="1" x14ac:dyDescent="0.25"/>
    <row r="533" customFormat="1" ht="12.5" customHeight="1" x14ac:dyDescent="0.25"/>
    <row r="534" customFormat="1" ht="12.5" customHeight="1" x14ac:dyDescent="0.25"/>
    <row r="535" customFormat="1" ht="12.5" customHeight="1" x14ac:dyDescent="0.25"/>
    <row r="536" customFormat="1" ht="12.5" customHeight="1" x14ac:dyDescent="0.25"/>
    <row r="537" customFormat="1" ht="12.5" customHeight="1" x14ac:dyDescent="0.25"/>
    <row r="538" customFormat="1" ht="12.5" customHeight="1" x14ac:dyDescent="0.25"/>
    <row r="539" customFormat="1" ht="12.5" customHeight="1" x14ac:dyDescent="0.25"/>
    <row r="540" customFormat="1" ht="12.5" customHeight="1" x14ac:dyDescent="0.25"/>
    <row r="541" customFormat="1" ht="12.5" customHeight="1" x14ac:dyDescent="0.25"/>
    <row r="542" customFormat="1" ht="12.5" customHeight="1" x14ac:dyDescent="0.25"/>
    <row r="543" customFormat="1" ht="12.5" customHeight="1" x14ac:dyDescent="0.25"/>
    <row r="544" customFormat="1" ht="12.5" customHeight="1" x14ac:dyDescent="0.25"/>
    <row r="545" customFormat="1" ht="12.5" customHeight="1" x14ac:dyDescent="0.25"/>
    <row r="546" customFormat="1" ht="12.5" customHeight="1" x14ac:dyDescent="0.25"/>
    <row r="547" customFormat="1" ht="12.5" customHeight="1" x14ac:dyDescent="0.25"/>
    <row r="548" customFormat="1" ht="12.5" customHeight="1" x14ac:dyDescent="0.25"/>
    <row r="549" customFormat="1" ht="12.5" customHeight="1" x14ac:dyDescent="0.25"/>
    <row r="550" customFormat="1" ht="12.5" customHeight="1" x14ac:dyDescent="0.25"/>
    <row r="551" customFormat="1" ht="12.5" customHeight="1" x14ac:dyDescent="0.25"/>
    <row r="552" customFormat="1" ht="12.5" customHeight="1" x14ac:dyDescent="0.25"/>
    <row r="553" customFormat="1" ht="12.5" customHeight="1" x14ac:dyDescent="0.25"/>
    <row r="554" customFormat="1" ht="12.5" customHeight="1" x14ac:dyDescent="0.25"/>
    <row r="555" customFormat="1" ht="12.5" customHeight="1" x14ac:dyDescent="0.25"/>
    <row r="556" customFormat="1" ht="12.5" customHeight="1" x14ac:dyDescent="0.25"/>
    <row r="557" customFormat="1" ht="12.5" customHeight="1" x14ac:dyDescent="0.25"/>
    <row r="558" customFormat="1" ht="12.5" customHeight="1" x14ac:dyDescent="0.25"/>
    <row r="559" customFormat="1" ht="12.5" customHeight="1" x14ac:dyDescent="0.25"/>
    <row r="560" customFormat="1" ht="12.5" customHeight="1" x14ac:dyDescent="0.25"/>
    <row r="561" customFormat="1" ht="12.5" customHeight="1" x14ac:dyDescent="0.25"/>
    <row r="562" customFormat="1" ht="12.5" customHeight="1" x14ac:dyDescent="0.25"/>
    <row r="563" customFormat="1" ht="12.5" customHeight="1" x14ac:dyDescent="0.25"/>
    <row r="564" customFormat="1" ht="12.5" customHeight="1" x14ac:dyDescent="0.25"/>
    <row r="565" customFormat="1" ht="12.5" customHeight="1" x14ac:dyDescent="0.25"/>
    <row r="566" customFormat="1" ht="12.5" customHeight="1" x14ac:dyDescent="0.25"/>
    <row r="567" customFormat="1" ht="12.5" customHeight="1" x14ac:dyDescent="0.25"/>
    <row r="568" customFormat="1" ht="12.5" customHeight="1" x14ac:dyDescent="0.25"/>
    <row r="569" customFormat="1" ht="12.5" customHeight="1" x14ac:dyDescent="0.25"/>
    <row r="570" customFormat="1" ht="12.5" customHeight="1" x14ac:dyDescent="0.25"/>
    <row r="571" customFormat="1" ht="12.5" customHeight="1" x14ac:dyDescent="0.25"/>
    <row r="572" customFormat="1" ht="12.5" customHeight="1" x14ac:dyDescent="0.25"/>
    <row r="573" customFormat="1" ht="12.5" customHeight="1" x14ac:dyDescent="0.25"/>
    <row r="574" customFormat="1" ht="12.5" customHeight="1" x14ac:dyDescent="0.25"/>
    <row r="575" customFormat="1" ht="12.5" customHeight="1" x14ac:dyDescent="0.25"/>
    <row r="576" customFormat="1" ht="12.5" customHeight="1" x14ac:dyDescent="0.25"/>
    <row r="577" customFormat="1" ht="12.5" customHeight="1" x14ac:dyDescent="0.25"/>
    <row r="578" customFormat="1" ht="12.5" customHeight="1" x14ac:dyDescent="0.25"/>
    <row r="579" customFormat="1" ht="12.5" customHeight="1" x14ac:dyDescent="0.25"/>
    <row r="580" customFormat="1" ht="12.5" customHeight="1" x14ac:dyDescent="0.25"/>
    <row r="581" customFormat="1" ht="12.5" customHeight="1" x14ac:dyDescent="0.25"/>
    <row r="582" customFormat="1" ht="12.5" customHeight="1" x14ac:dyDescent="0.25"/>
    <row r="583" customFormat="1" ht="12.5" customHeight="1" x14ac:dyDescent="0.25"/>
    <row r="584" customFormat="1" ht="12.5" customHeight="1" x14ac:dyDescent="0.25"/>
    <row r="585" customFormat="1" ht="12.5" customHeight="1" x14ac:dyDescent="0.25"/>
    <row r="586" customFormat="1" ht="12.5" customHeight="1" x14ac:dyDescent="0.25"/>
    <row r="587" customFormat="1" ht="12.5" customHeight="1" x14ac:dyDescent="0.25"/>
    <row r="588" customFormat="1" ht="12.5" customHeight="1" x14ac:dyDescent="0.25"/>
    <row r="589" customFormat="1" ht="12.5" customHeight="1" x14ac:dyDescent="0.25"/>
    <row r="590" customFormat="1" ht="12.5" customHeight="1" x14ac:dyDescent="0.25"/>
    <row r="591" customFormat="1" ht="12.5" customHeight="1" x14ac:dyDescent="0.25"/>
    <row r="592" customFormat="1" ht="12.5" customHeight="1" x14ac:dyDescent="0.25"/>
    <row r="593" customFormat="1" ht="12.5" customHeight="1" x14ac:dyDescent="0.25"/>
    <row r="594" customFormat="1" ht="12.5" customHeight="1" x14ac:dyDescent="0.25"/>
    <row r="595" customFormat="1" ht="12.5" customHeight="1" x14ac:dyDescent="0.25"/>
    <row r="596" customFormat="1" ht="12.5" customHeight="1" x14ac:dyDescent="0.25"/>
    <row r="597" customFormat="1" ht="12.5" customHeight="1" x14ac:dyDescent="0.25"/>
    <row r="598" customFormat="1" ht="12.5" customHeight="1" x14ac:dyDescent="0.25"/>
    <row r="599" customFormat="1" ht="12.5" customHeight="1" x14ac:dyDescent="0.25"/>
    <row r="600" customFormat="1" ht="12.5" customHeight="1" x14ac:dyDescent="0.25"/>
    <row r="601" customFormat="1" ht="12.5" customHeight="1" x14ac:dyDescent="0.25"/>
    <row r="602" customFormat="1" ht="12.5" customHeight="1" x14ac:dyDescent="0.25"/>
    <row r="603" customFormat="1" ht="12.5" customHeight="1" x14ac:dyDescent="0.25"/>
    <row r="604" customFormat="1" ht="12.5" customHeight="1" x14ac:dyDescent="0.25"/>
    <row r="605" customFormat="1" ht="12.5" customHeight="1" x14ac:dyDescent="0.25"/>
    <row r="606" customFormat="1" ht="12.5" customHeight="1" x14ac:dyDescent="0.25"/>
    <row r="607" customFormat="1" ht="12.5" customHeight="1" x14ac:dyDescent="0.25"/>
    <row r="608" customFormat="1" ht="12.5" customHeight="1" x14ac:dyDescent="0.25"/>
    <row r="609" customFormat="1" ht="12.5" customHeight="1" x14ac:dyDescent="0.25"/>
    <row r="610" customFormat="1" ht="12.5" customHeight="1" x14ac:dyDescent="0.25"/>
    <row r="611" customFormat="1" ht="12.5" customHeight="1" x14ac:dyDescent="0.25"/>
    <row r="612" customFormat="1" ht="12.5" customHeight="1" x14ac:dyDescent="0.25"/>
    <row r="613" customFormat="1" ht="12.5" customHeight="1" x14ac:dyDescent="0.25"/>
    <row r="614" customFormat="1" ht="12.5" customHeight="1" x14ac:dyDescent="0.25"/>
    <row r="615" customFormat="1" ht="12.5" customHeight="1" x14ac:dyDescent="0.25"/>
    <row r="616" customFormat="1" ht="12.5" customHeight="1" x14ac:dyDescent="0.25"/>
    <row r="617" customFormat="1" ht="12.5" customHeight="1" x14ac:dyDescent="0.25"/>
    <row r="618" customFormat="1" ht="12.5" customHeight="1" x14ac:dyDescent="0.25"/>
    <row r="619" customFormat="1" ht="12.5" customHeight="1" x14ac:dyDescent="0.25"/>
    <row r="620" customFormat="1" ht="12.5" customHeight="1" x14ac:dyDescent="0.25"/>
    <row r="621" customFormat="1" ht="12.5" customHeight="1" x14ac:dyDescent="0.25"/>
    <row r="622" customFormat="1" ht="12.5" customHeight="1" x14ac:dyDescent="0.25"/>
    <row r="623" customFormat="1" ht="12.5" customHeight="1" x14ac:dyDescent="0.25"/>
    <row r="624" customFormat="1" ht="12.5" customHeight="1" x14ac:dyDescent="0.25"/>
    <row r="625" customFormat="1" ht="12.5" customHeight="1" x14ac:dyDescent="0.25"/>
    <row r="626" customFormat="1" ht="12.5" customHeight="1" x14ac:dyDescent="0.25"/>
    <row r="627" customFormat="1" ht="12.5" customHeight="1" x14ac:dyDescent="0.25"/>
    <row r="628" customFormat="1" ht="12.5" customHeight="1" x14ac:dyDescent="0.25"/>
    <row r="629" customFormat="1" ht="12.5" customHeight="1" x14ac:dyDescent="0.25"/>
    <row r="630" customFormat="1" ht="12.5" customHeight="1" x14ac:dyDescent="0.25"/>
    <row r="631" customFormat="1" ht="12.5" customHeight="1" x14ac:dyDescent="0.25"/>
    <row r="632" customFormat="1" ht="12.5" customHeight="1" x14ac:dyDescent="0.25"/>
    <row r="633" customFormat="1" ht="12.5" customHeight="1" x14ac:dyDescent="0.25"/>
    <row r="634" customFormat="1" ht="12.5" customHeight="1" x14ac:dyDescent="0.25"/>
    <row r="635" customFormat="1" ht="12.5" customHeight="1" x14ac:dyDescent="0.25"/>
    <row r="636" customFormat="1" ht="12.5" customHeight="1" x14ac:dyDescent="0.25"/>
    <row r="637" customFormat="1" ht="12.5" customHeight="1" x14ac:dyDescent="0.25"/>
    <row r="638" customFormat="1" ht="12.5" customHeight="1" x14ac:dyDescent="0.25"/>
    <row r="639" customFormat="1" ht="12.5" customHeight="1" x14ac:dyDescent="0.25"/>
    <row r="640" customFormat="1" ht="12.5" customHeight="1" x14ac:dyDescent="0.25"/>
    <row r="641" customFormat="1" ht="12.5" customHeight="1" x14ac:dyDescent="0.25"/>
    <row r="642" customFormat="1" ht="12.5" customHeight="1" x14ac:dyDescent="0.25"/>
    <row r="643" customFormat="1" ht="12.5" customHeight="1" x14ac:dyDescent="0.25"/>
    <row r="644" customFormat="1" ht="12.5" customHeight="1" x14ac:dyDescent="0.25"/>
    <row r="645" customFormat="1" ht="12.5" customHeight="1" x14ac:dyDescent="0.25"/>
    <row r="646" customFormat="1" ht="12.5" customHeight="1" x14ac:dyDescent="0.25"/>
    <row r="647" customFormat="1" ht="12.5" customHeight="1" x14ac:dyDescent="0.25"/>
    <row r="648" customFormat="1" ht="12.5" customHeight="1" x14ac:dyDescent="0.25"/>
    <row r="649" customFormat="1" ht="12.5" customHeight="1" x14ac:dyDescent="0.25"/>
    <row r="650" customFormat="1" ht="12.5" customHeight="1" x14ac:dyDescent="0.25"/>
    <row r="651" customFormat="1" ht="12.5" customHeight="1" x14ac:dyDescent="0.25"/>
    <row r="652" customFormat="1" ht="12.5" customHeight="1" x14ac:dyDescent="0.25"/>
    <row r="653" customFormat="1" ht="12.5" customHeight="1" x14ac:dyDescent="0.25"/>
    <row r="654" customFormat="1" ht="12.5" customHeight="1" x14ac:dyDescent="0.25"/>
    <row r="655" customFormat="1" ht="12.5" customHeight="1" x14ac:dyDescent="0.25"/>
    <row r="656" customFormat="1" ht="12.5" customHeight="1" x14ac:dyDescent="0.25"/>
    <row r="657" customFormat="1" ht="12.5" customHeight="1" x14ac:dyDescent="0.25"/>
    <row r="658" customFormat="1" ht="12.5" customHeight="1" x14ac:dyDescent="0.25"/>
    <row r="659" customFormat="1" ht="12.5" customHeight="1" x14ac:dyDescent="0.25"/>
    <row r="660" customFormat="1" ht="12.5" customHeight="1" x14ac:dyDescent="0.25"/>
    <row r="661" customFormat="1" ht="12.5" customHeight="1" x14ac:dyDescent="0.25"/>
    <row r="662" customFormat="1" ht="12.5" customHeight="1" x14ac:dyDescent="0.25"/>
    <row r="663" customFormat="1" ht="12.5" customHeight="1" x14ac:dyDescent="0.25"/>
    <row r="664" customFormat="1" ht="12.5" customHeight="1" x14ac:dyDescent="0.25"/>
    <row r="665" customFormat="1" ht="12.5" customHeight="1" x14ac:dyDescent="0.25"/>
    <row r="666" customFormat="1" ht="12.5" customHeight="1" x14ac:dyDescent="0.25"/>
    <row r="667" customFormat="1" ht="12.5" customHeight="1" x14ac:dyDescent="0.25"/>
    <row r="668" customFormat="1" ht="12.5" customHeight="1" x14ac:dyDescent="0.25"/>
    <row r="669" customFormat="1" ht="12.5" customHeight="1" x14ac:dyDescent="0.25"/>
    <row r="670" customFormat="1" ht="12.5" customHeight="1" x14ac:dyDescent="0.25"/>
    <row r="671" customFormat="1" ht="12.5" customHeight="1" x14ac:dyDescent="0.25"/>
    <row r="672" customFormat="1" ht="12.5" customHeight="1" x14ac:dyDescent="0.25"/>
    <row r="673" customFormat="1" ht="12.5" customHeight="1" x14ac:dyDescent="0.25"/>
    <row r="674" customFormat="1" ht="12.5" customHeight="1" x14ac:dyDescent="0.25"/>
    <row r="675" customFormat="1" ht="12.5" customHeight="1" x14ac:dyDescent="0.25"/>
    <row r="676" customFormat="1" ht="12.5" customHeight="1" x14ac:dyDescent="0.25"/>
    <row r="677" customFormat="1" ht="12.5" customHeight="1" x14ac:dyDescent="0.25"/>
    <row r="678" customFormat="1" ht="12.5" customHeight="1" x14ac:dyDescent="0.25"/>
    <row r="679" customFormat="1" ht="12.5" customHeight="1" x14ac:dyDescent="0.25"/>
    <row r="680" customFormat="1" ht="12.5" customHeight="1" x14ac:dyDescent="0.25"/>
    <row r="681" customFormat="1" ht="12.5" customHeight="1" x14ac:dyDescent="0.25"/>
    <row r="682" customFormat="1" ht="12.5" customHeight="1" x14ac:dyDescent="0.25"/>
    <row r="683" customFormat="1" ht="12.5" customHeight="1" x14ac:dyDescent="0.25"/>
    <row r="684" customFormat="1" ht="12.5" customHeight="1" x14ac:dyDescent="0.25"/>
    <row r="685" customFormat="1" ht="12.5" customHeight="1" x14ac:dyDescent="0.25"/>
    <row r="686" customFormat="1" ht="12.5" customHeight="1" x14ac:dyDescent="0.25"/>
    <row r="687" customFormat="1" ht="12.5" customHeight="1" x14ac:dyDescent="0.25"/>
    <row r="688" customFormat="1" ht="12.5" customHeight="1" x14ac:dyDescent="0.25"/>
    <row r="689" customFormat="1" ht="12.5" customHeight="1" x14ac:dyDescent="0.25"/>
    <row r="690" customFormat="1" ht="12.5" customHeight="1" x14ac:dyDescent="0.25"/>
    <row r="691" customFormat="1" ht="12.5" customHeight="1" x14ac:dyDescent="0.25"/>
    <row r="692" customFormat="1" ht="12.5" customHeight="1" x14ac:dyDescent="0.25"/>
    <row r="693" customFormat="1" ht="12.5" customHeight="1" x14ac:dyDescent="0.25"/>
    <row r="694" customFormat="1" ht="12.5" customHeight="1" x14ac:dyDescent="0.25"/>
    <row r="695" customFormat="1" ht="12.5" customHeight="1" x14ac:dyDescent="0.25"/>
    <row r="696" customFormat="1" ht="12.5" customHeight="1" x14ac:dyDescent="0.25"/>
    <row r="697" customFormat="1" ht="12.5" customHeight="1" x14ac:dyDescent="0.25"/>
    <row r="698" customFormat="1" ht="12.5" customHeight="1" x14ac:dyDescent="0.25"/>
    <row r="699" customFormat="1" ht="12.5" customHeight="1" x14ac:dyDescent="0.25"/>
    <row r="700" customFormat="1" ht="12.5" customHeight="1" x14ac:dyDescent="0.25"/>
    <row r="701" customFormat="1" ht="12.5" customHeight="1" x14ac:dyDescent="0.25"/>
    <row r="702" customFormat="1" ht="12.5" customHeight="1" x14ac:dyDescent="0.25"/>
    <row r="703" customFormat="1" ht="12.5" customHeight="1" x14ac:dyDescent="0.25"/>
    <row r="704" customFormat="1" ht="12.5" customHeight="1" x14ac:dyDescent="0.25"/>
    <row r="705" customFormat="1" ht="12.5" customHeight="1" x14ac:dyDescent="0.25"/>
    <row r="706" customFormat="1" ht="12.5" customHeight="1" x14ac:dyDescent="0.25"/>
    <row r="707" customFormat="1" ht="12.5" customHeight="1" x14ac:dyDescent="0.25"/>
    <row r="708" customFormat="1" ht="12.5" customHeight="1" x14ac:dyDescent="0.25"/>
    <row r="709" customFormat="1" ht="12.5" customHeight="1" x14ac:dyDescent="0.25"/>
    <row r="710" customFormat="1" ht="12.5" customHeight="1" x14ac:dyDescent="0.25"/>
    <row r="711" customFormat="1" ht="12.5" customHeight="1" x14ac:dyDescent="0.25"/>
    <row r="712" customFormat="1" ht="12.5" customHeight="1" x14ac:dyDescent="0.25"/>
    <row r="713" customFormat="1" ht="12.5" customHeight="1" x14ac:dyDescent="0.25"/>
    <row r="714" customFormat="1" ht="12.5" customHeight="1" x14ac:dyDescent="0.25"/>
    <row r="715" customFormat="1" ht="12.5" customHeight="1" x14ac:dyDescent="0.25"/>
    <row r="716" customFormat="1" ht="12.5" customHeight="1" x14ac:dyDescent="0.25"/>
    <row r="717" customFormat="1" ht="12.5" customHeight="1" x14ac:dyDescent="0.25"/>
    <row r="718" customFormat="1" ht="12.5" customHeight="1" x14ac:dyDescent="0.25"/>
    <row r="719" customFormat="1" ht="12.5" customHeight="1" x14ac:dyDescent="0.25"/>
    <row r="720" customFormat="1" ht="12.5" customHeight="1" x14ac:dyDescent="0.25"/>
    <row r="721" customFormat="1" ht="12.5" customHeight="1" x14ac:dyDescent="0.25"/>
    <row r="722" customFormat="1" ht="12.5" customHeight="1" x14ac:dyDescent="0.25"/>
    <row r="723" customFormat="1" ht="12.5" customHeight="1" x14ac:dyDescent="0.25"/>
    <row r="724" customFormat="1" ht="12.5" customHeight="1" x14ac:dyDescent="0.25"/>
    <row r="725" customFormat="1" ht="12.5" customHeight="1" x14ac:dyDescent="0.25"/>
    <row r="726" customFormat="1" ht="12.5" customHeight="1" x14ac:dyDescent="0.25"/>
    <row r="727" customFormat="1" ht="12.5" customHeight="1" x14ac:dyDescent="0.25"/>
    <row r="728" customFormat="1" ht="12.5" customHeight="1" x14ac:dyDescent="0.25"/>
    <row r="729" customFormat="1" ht="12.5" customHeight="1" x14ac:dyDescent="0.25"/>
    <row r="730" customFormat="1" ht="12.5" customHeight="1" x14ac:dyDescent="0.25"/>
    <row r="731" customFormat="1" ht="12.5" customHeight="1" x14ac:dyDescent="0.25"/>
    <row r="732" customFormat="1" ht="12.5" customHeight="1" x14ac:dyDescent="0.25"/>
    <row r="733" customFormat="1" ht="12.5" customHeight="1" x14ac:dyDescent="0.25"/>
    <row r="734" customFormat="1" ht="12.5" customHeight="1" x14ac:dyDescent="0.25"/>
    <row r="735" customFormat="1" ht="12.5" customHeight="1" x14ac:dyDescent="0.25"/>
    <row r="736" customFormat="1" ht="12.5" customHeight="1" x14ac:dyDescent="0.25"/>
    <row r="737" customFormat="1" ht="12.5" customHeight="1" x14ac:dyDescent="0.25"/>
    <row r="738" customFormat="1" ht="12.5" customHeight="1" x14ac:dyDescent="0.25"/>
    <row r="739" customFormat="1" ht="12.5" customHeight="1" x14ac:dyDescent="0.25"/>
    <row r="740" customFormat="1" ht="12.5" customHeight="1" x14ac:dyDescent="0.25"/>
    <row r="741" customFormat="1" ht="12.5" customHeight="1" x14ac:dyDescent="0.25"/>
    <row r="742" customFormat="1" ht="12.5" customHeight="1" x14ac:dyDescent="0.25"/>
    <row r="743" customFormat="1" ht="12.5" customHeight="1" x14ac:dyDescent="0.25"/>
    <row r="744" customFormat="1" ht="12.5" customHeight="1" x14ac:dyDescent="0.25"/>
    <row r="745" customFormat="1" ht="12.5" customHeight="1" x14ac:dyDescent="0.25"/>
    <row r="746" customFormat="1" ht="12.5" customHeight="1" x14ac:dyDescent="0.25"/>
    <row r="747" customFormat="1" ht="12.5" customHeight="1" x14ac:dyDescent="0.25"/>
    <row r="748" customFormat="1" ht="12.5" customHeight="1" x14ac:dyDescent="0.25"/>
    <row r="749" customFormat="1" ht="12.5" customHeight="1" x14ac:dyDescent="0.25"/>
    <row r="750" customFormat="1" ht="12.5" customHeight="1" x14ac:dyDescent="0.25"/>
    <row r="751" customFormat="1" ht="12.5" customHeight="1" x14ac:dyDescent="0.25"/>
    <row r="752" customFormat="1" ht="12.5" customHeight="1" x14ac:dyDescent="0.25"/>
    <row r="753" customFormat="1" ht="12.5" customHeight="1" x14ac:dyDescent="0.25"/>
    <row r="754" customFormat="1" ht="12.5" customHeight="1" x14ac:dyDescent="0.25"/>
    <row r="755" customFormat="1" ht="12.5" customHeight="1" x14ac:dyDescent="0.25"/>
    <row r="756" customFormat="1" ht="12.5" customHeight="1" x14ac:dyDescent="0.25"/>
    <row r="757" customFormat="1" ht="12.5" customHeight="1" x14ac:dyDescent="0.25"/>
    <row r="758" customFormat="1" ht="12.5" customHeight="1" x14ac:dyDescent="0.25"/>
    <row r="759" customFormat="1" ht="12.5" customHeight="1" x14ac:dyDescent="0.25"/>
    <row r="760" customFormat="1" ht="12.5" customHeight="1" x14ac:dyDescent="0.25"/>
    <row r="761" customFormat="1" ht="12.5" customHeight="1" x14ac:dyDescent="0.25"/>
    <row r="762" customFormat="1" ht="12.5" customHeight="1" x14ac:dyDescent="0.25"/>
    <row r="763" customFormat="1" ht="12.5" customHeight="1" x14ac:dyDescent="0.25"/>
    <row r="764" customFormat="1" ht="12.5" customHeight="1" x14ac:dyDescent="0.25"/>
    <row r="765" customFormat="1" ht="12.5" customHeight="1" x14ac:dyDescent="0.25"/>
    <row r="766" customFormat="1" ht="12.5" customHeight="1" x14ac:dyDescent="0.25"/>
    <row r="767" customFormat="1" ht="12.5" customHeight="1" x14ac:dyDescent="0.25"/>
    <row r="768" customFormat="1" ht="12.5" customHeight="1" x14ac:dyDescent="0.25"/>
    <row r="769" customFormat="1" ht="12.5" customHeight="1" x14ac:dyDescent="0.25"/>
    <row r="770" customFormat="1" ht="12.5" customHeight="1" x14ac:dyDescent="0.25"/>
    <row r="771" customFormat="1" ht="12.5" customHeight="1" x14ac:dyDescent="0.25"/>
    <row r="772" customFormat="1" ht="12.5" customHeight="1" x14ac:dyDescent="0.25"/>
    <row r="773" customFormat="1" ht="12.5" customHeight="1" x14ac:dyDescent="0.25"/>
    <row r="774" customFormat="1" ht="12.5" customHeight="1" x14ac:dyDescent="0.25"/>
    <row r="775" customFormat="1" ht="12.5" customHeight="1" x14ac:dyDescent="0.25"/>
    <row r="776" customFormat="1" ht="12.5" customHeight="1" x14ac:dyDescent="0.25"/>
    <row r="777" customFormat="1" ht="12.5" customHeight="1" x14ac:dyDescent="0.25"/>
    <row r="778" customFormat="1" ht="12.5" customHeight="1" x14ac:dyDescent="0.25"/>
    <row r="779" customFormat="1" ht="12.5" customHeight="1" x14ac:dyDescent="0.25"/>
    <row r="780" customFormat="1" ht="12.5" customHeight="1" x14ac:dyDescent="0.25"/>
    <row r="781" customFormat="1" ht="12.5" customHeight="1" x14ac:dyDescent="0.25"/>
    <row r="782" customFormat="1" ht="12.5" customHeight="1" x14ac:dyDescent="0.25"/>
    <row r="783" customFormat="1" ht="12.5" customHeight="1" x14ac:dyDescent="0.25"/>
    <row r="784" customFormat="1" ht="12.5" customHeight="1" x14ac:dyDescent="0.25"/>
    <row r="785" customFormat="1" ht="12.5" customHeight="1" x14ac:dyDescent="0.25"/>
    <row r="786" customFormat="1" ht="12.5" customHeight="1" x14ac:dyDescent="0.25"/>
    <row r="787" customFormat="1" ht="12.5" customHeight="1" x14ac:dyDescent="0.25"/>
    <row r="788" customFormat="1" ht="12.5" customHeight="1" x14ac:dyDescent="0.25"/>
    <row r="789" customFormat="1" ht="12.5" customHeight="1" x14ac:dyDescent="0.25"/>
    <row r="790" customFormat="1" ht="12.5" customHeight="1" x14ac:dyDescent="0.25"/>
    <row r="791" customFormat="1" ht="12.5" customHeight="1" x14ac:dyDescent="0.25"/>
    <row r="792" customFormat="1" ht="12.5" customHeight="1" x14ac:dyDescent="0.25"/>
    <row r="793" customFormat="1" ht="12.5" customHeight="1" x14ac:dyDescent="0.25"/>
    <row r="794" customFormat="1" ht="12.5" customHeight="1" x14ac:dyDescent="0.25"/>
    <row r="795" customFormat="1" ht="12.5" customHeight="1" x14ac:dyDescent="0.25"/>
    <row r="796" customFormat="1" ht="12.5" customHeight="1" x14ac:dyDescent="0.25"/>
    <row r="797" customFormat="1" ht="12.5" customHeight="1" x14ac:dyDescent="0.25"/>
    <row r="798" customFormat="1" ht="12.5" customHeight="1" x14ac:dyDescent="0.25"/>
    <row r="799" customFormat="1" ht="12.5" customHeight="1" x14ac:dyDescent="0.25"/>
    <row r="800" customFormat="1" ht="12.5" customHeight="1" x14ac:dyDescent="0.25"/>
    <row r="801" customFormat="1" ht="12.5" customHeight="1" x14ac:dyDescent="0.25"/>
    <row r="802" customFormat="1" ht="12.5" customHeight="1" x14ac:dyDescent="0.25"/>
    <row r="803" customFormat="1" ht="12.5" customHeight="1" x14ac:dyDescent="0.25"/>
    <row r="804" customFormat="1" ht="12.5" customHeight="1" x14ac:dyDescent="0.25"/>
    <row r="805" customFormat="1" ht="12.5" customHeight="1" x14ac:dyDescent="0.25"/>
    <row r="806" customFormat="1" ht="12.5" customHeight="1" x14ac:dyDescent="0.25"/>
    <row r="807" customFormat="1" ht="12.5" customHeight="1" x14ac:dyDescent="0.25"/>
    <row r="808" customFormat="1" ht="12.5" customHeight="1" x14ac:dyDescent="0.25"/>
    <row r="809" customFormat="1" ht="12.5" customHeight="1" x14ac:dyDescent="0.25"/>
    <row r="810" customFormat="1" ht="12.5" customHeight="1" x14ac:dyDescent="0.25"/>
    <row r="811" customFormat="1" ht="12.5" customHeight="1" x14ac:dyDescent="0.25"/>
    <row r="812" customFormat="1" ht="12.5" customHeight="1" x14ac:dyDescent="0.25"/>
    <row r="813" customFormat="1" ht="12.5" customHeight="1" x14ac:dyDescent="0.25"/>
    <row r="814" customFormat="1" ht="12.5" customHeight="1" x14ac:dyDescent="0.25"/>
    <row r="815" customFormat="1" ht="12.5" customHeight="1" x14ac:dyDescent="0.25"/>
    <row r="816" customFormat="1" ht="12.5" customHeight="1" x14ac:dyDescent="0.25"/>
    <row r="817" customFormat="1" ht="12.5" customHeight="1" x14ac:dyDescent="0.25"/>
    <row r="818" customFormat="1" ht="12.5" customHeight="1" x14ac:dyDescent="0.25"/>
    <row r="819" customFormat="1" ht="12.5" customHeight="1" x14ac:dyDescent="0.25"/>
    <row r="820" customFormat="1" ht="12.5" customHeight="1" x14ac:dyDescent="0.25"/>
    <row r="821" customFormat="1" ht="12.5" customHeight="1" x14ac:dyDescent="0.25"/>
    <row r="822" customFormat="1" ht="12.5" customHeight="1" x14ac:dyDescent="0.25"/>
    <row r="823" customFormat="1" ht="12.5" customHeight="1" x14ac:dyDescent="0.25"/>
    <row r="824" customFormat="1" ht="12.5" customHeight="1" x14ac:dyDescent="0.25"/>
    <row r="825" customFormat="1" ht="12.5" customHeight="1" x14ac:dyDescent="0.25"/>
    <row r="826" customFormat="1" ht="12.5" customHeight="1" x14ac:dyDescent="0.25"/>
    <row r="827" customFormat="1" ht="12.5" customHeight="1" x14ac:dyDescent="0.25"/>
    <row r="828" customFormat="1" ht="12.5" customHeight="1" x14ac:dyDescent="0.25"/>
    <row r="829" customFormat="1" ht="12.5" customHeight="1" x14ac:dyDescent="0.25"/>
    <row r="830" customFormat="1" ht="12.5" customHeight="1" x14ac:dyDescent="0.25"/>
    <row r="831" customFormat="1" ht="12.5" customHeight="1" x14ac:dyDescent="0.25"/>
    <row r="832" customFormat="1" ht="12.5" customHeight="1" x14ac:dyDescent="0.25"/>
    <row r="833" customFormat="1" ht="12.5" customHeight="1" x14ac:dyDescent="0.25"/>
    <row r="834" customFormat="1" ht="12.5" customHeight="1" x14ac:dyDescent="0.25"/>
    <row r="835" customFormat="1" ht="12.5" customHeight="1" x14ac:dyDescent="0.25"/>
    <row r="836" customFormat="1" ht="12.5" customHeight="1" x14ac:dyDescent="0.25"/>
    <row r="837" customFormat="1" ht="12.5" customHeight="1" x14ac:dyDescent="0.25"/>
    <row r="838" customFormat="1" ht="12.5" customHeight="1" x14ac:dyDescent="0.25"/>
    <row r="839" customFormat="1" ht="12.5" customHeight="1" x14ac:dyDescent="0.25"/>
    <row r="840" customFormat="1" ht="12.5" customHeight="1" x14ac:dyDescent="0.25"/>
    <row r="841" customFormat="1" ht="12.5" customHeight="1" x14ac:dyDescent="0.25"/>
    <row r="842" customFormat="1" ht="12.5" customHeight="1" x14ac:dyDescent="0.25"/>
    <row r="843" customFormat="1" ht="12.5" customHeight="1" x14ac:dyDescent="0.25"/>
    <row r="844" customFormat="1" ht="12.5" customHeight="1" x14ac:dyDescent="0.25"/>
    <row r="845" customFormat="1" ht="12.5" customHeight="1" x14ac:dyDescent="0.25"/>
    <row r="846" customFormat="1" ht="12.5" customHeight="1" x14ac:dyDescent="0.25"/>
    <row r="847" customFormat="1" ht="12.5" customHeight="1" x14ac:dyDescent="0.25"/>
    <row r="848" customFormat="1" ht="12.5" customHeight="1" x14ac:dyDescent="0.25"/>
    <row r="849" customFormat="1" ht="12.5" customHeight="1" x14ac:dyDescent="0.25"/>
    <row r="850" customFormat="1" ht="12.5" customHeight="1" x14ac:dyDescent="0.25"/>
    <row r="851" customFormat="1" ht="12.5" customHeight="1" x14ac:dyDescent="0.25"/>
    <row r="852" customFormat="1" ht="12.5" customHeight="1" x14ac:dyDescent="0.25"/>
    <row r="853" customFormat="1" ht="12.5" customHeight="1" x14ac:dyDescent="0.25"/>
    <row r="854" customFormat="1" ht="12.5" customHeight="1" x14ac:dyDescent="0.25"/>
    <row r="855" customFormat="1" ht="12.5" customHeight="1" x14ac:dyDescent="0.25"/>
    <row r="856" customFormat="1" ht="12.5" customHeight="1" x14ac:dyDescent="0.25"/>
    <row r="857" customFormat="1" ht="12.5" customHeight="1" x14ac:dyDescent="0.25"/>
    <row r="858" customFormat="1" ht="12.5" customHeight="1" x14ac:dyDescent="0.25"/>
    <row r="859" customFormat="1" ht="12.5" customHeight="1" x14ac:dyDescent="0.25"/>
    <row r="860" customFormat="1" ht="12.5" customHeight="1" x14ac:dyDescent="0.25"/>
    <row r="861" customFormat="1" ht="12.5" customHeight="1" x14ac:dyDescent="0.25"/>
    <row r="862" customFormat="1" ht="12.5" customHeight="1" x14ac:dyDescent="0.25"/>
    <row r="863" customFormat="1" ht="12.5" customHeight="1" x14ac:dyDescent="0.25"/>
    <row r="864" customFormat="1" ht="12.5" customHeight="1" x14ac:dyDescent="0.25"/>
    <row r="865" customFormat="1" ht="12.5" customHeight="1" x14ac:dyDescent="0.25"/>
    <row r="866" customFormat="1" ht="12.5" customHeight="1" x14ac:dyDescent="0.25"/>
    <row r="867" customFormat="1" ht="12.5" customHeight="1" x14ac:dyDescent="0.25"/>
    <row r="868" customFormat="1" ht="12.5" customHeight="1" x14ac:dyDescent="0.25"/>
    <row r="869" customFormat="1" ht="12.5" customHeight="1" x14ac:dyDescent="0.25"/>
    <row r="870" customFormat="1" ht="12.5" customHeight="1" x14ac:dyDescent="0.25"/>
    <row r="871" customFormat="1" ht="12.5" customHeight="1" x14ac:dyDescent="0.25"/>
    <row r="872" customFormat="1" ht="12.5" customHeight="1" x14ac:dyDescent="0.25"/>
    <row r="873" customFormat="1" ht="12.5" customHeight="1" x14ac:dyDescent="0.25"/>
    <row r="874" customFormat="1" ht="12.5" customHeight="1" x14ac:dyDescent="0.25"/>
    <row r="875" customFormat="1" ht="12.5" customHeight="1" x14ac:dyDescent="0.25"/>
    <row r="876" customFormat="1" ht="12.5" customHeight="1" x14ac:dyDescent="0.25"/>
    <row r="877" customFormat="1" ht="12.5" customHeight="1" x14ac:dyDescent="0.25"/>
    <row r="878" customFormat="1" ht="12.5" customHeight="1" x14ac:dyDescent="0.25"/>
    <row r="879" customFormat="1" ht="12.5" customHeight="1" x14ac:dyDescent="0.25"/>
    <row r="880" customFormat="1" ht="12.5" customHeight="1" x14ac:dyDescent="0.25"/>
    <row r="881" customFormat="1" ht="12.5" customHeight="1" x14ac:dyDescent="0.25"/>
    <row r="882" customFormat="1" ht="12.5" customHeight="1" x14ac:dyDescent="0.25"/>
    <row r="883" customFormat="1" ht="12.5" customHeight="1" x14ac:dyDescent="0.25"/>
    <row r="884" customFormat="1" ht="12.5" customHeight="1" x14ac:dyDescent="0.25"/>
    <row r="885" customFormat="1" ht="12.5" customHeight="1" x14ac:dyDescent="0.25"/>
    <row r="886" customFormat="1" ht="12.5" customHeight="1" x14ac:dyDescent="0.25"/>
    <row r="887" customFormat="1" ht="12.5" customHeight="1" x14ac:dyDescent="0.25"/>
    <row r="888" customFormat="1" ht="12.5" customHeight="1" x14ac:dyDescent="0.25"/>
    <row r="889" customFormat="1" ht="12.5" customHeight="1" x14ac:dyDescent="0.25"/>
    <row r="890" customFormat="1" ht="12.5" customHeight="1" x14ac:dyDescent="0.25"/>
    <row r="891" customFormat="1" ht="12.5" customHeight="1" x14ac:dyDescent="0.25"/>
    <row r="892" customFormat="1" ht="12.5" customHeight="1" x14ac:dyDescent="0.25"/>
    <row r="893" customFormat="1" ht="12.5" customHeight="1" x14ac:dyDescent="0.25"/>
    <row r="894" customFormat="1" ht="12.5" customHeight="1" x14ac:dyDescent="0.25"/>
    <row r="895" customFormat="1" ht="12.5" customHeight="1" x14ac:dyDescent="0.25"/>
    <row r="896" customFormat="1" ht="12.5" customHeight="1" x14ac:dyDescent="0.25"/>
    <row r="897" customFormat="1" ht="12.5" customHeight="1" x14ac:dyDescent="0.25"/>
    <row r="898" customFormat="1" ht="12.5" customHeight="1" x14ac:dyDescent="0.25"/>
    <row r="899" customFormat="1" ht="12.5" customHeight="1" x14ac:dyDescent="0.25"/>
    <row r="900" customFormat="1" ht="12.5" customHeight="1" x14ac:dyDescent="0.25"/>
    <row r="901" customFormat="1" ht="12.5" customHeight="1" x14ac:dyDescent="0.25"/>
    <row r="902" customFormat="1" ht="12.5" customHeight="1" x14ac:dyDescent="0.25"/>
    <row r="903" customFormat="1" ht="12.5" customHeight="1" x14ac:dyDescent="0.25"/>
    <row r="904" customFormat="1" ht="12.5" customHeight="1" x14ac:dyDescent="0.25"/>
    <row r="905" customFormat="1" ht="12.5" customHeight="1" x14ac:dyDescent="0.25"/>
    <row r="906" customFormat="1" ht="12.5" customHeight="1" x14ac:dyDescent="0.25"/>
    <row r="907" customFormat="1" ht="12.5" customHeight="1" x14ac:dyDescent="0.25"/>
    <row r="908" customFormat="1" ht="12.5" customHeight="1" x14ac:dyDescent="0.25"/>
    <row r="909" customFormat="1" ht="12.5" customHeight="1" x14ac:dyDescent="0.25"/>
    <row r="910" customFormat="1" ht="12.5" customHeight="1" x14ac:dyDescent="0.25"/>
    <row r="911" customFormat="1" ht="12.5" customHeight="1" x14ac:dyDescent="0.25"/>
    <row r="912" customFormat="1" ht="12.5" customHeight="1" x14ac:dyDescent="0.25"/>
    <row r="913" customFormat="1" ht="12.5" customHeight="1" x14ac:dyDescent="0.25"/>
    <row r="914" customFormat="1" ht="12.5" customHeight="1" x14ac:dyDescent="0.25"/>
    <row r="915" customFormat="1" ht="12.5" customHeight="1" x14ac:dyDescent="0.25"/>
    <row r="916" customFormat="1" ht="12.5" customHeight="1" x14ac:dyDescent="0.25"/>
    <row r="917" customFormat="1" ht="12.5" customHeight="1" x14ac:dyDescent="0.25"/>
    <row r="918" customFormat="1" ht="12.5" customHeight="1" x14ac:dyDescent="0.25"/>
    <row r="919" customFormat="1" ht="12.5" customHeight="1" x14ac:dyDescent="0.25"/>
    <row r="920" customFormat="1" ht="12.5" customHeight="1" x14ac:dyDescent="0.25"/>
    <row r="921" customFormat="1" ht="12.5" customHeight="1" x14ac:dyDescent="0.25"/>
    <row r="922" customFormat="1" ht="12.5" customHeight="1" x14ac:dyDescent="0.25"/>
    <row r="923" customFormat="1" ht="12.5" customHeight="1" x14ac:dyDescent="0.25"/>
    <row r="924" customFormat="1" ht="12.5" customHeight="1" x14ac:dyDescent="0.25"/>
    <row r="925" customFormat="1" ht="12.5" customHeight="1" x14ac:dyDescent="0.25"/>
    <row r="926" customFormat="1" ht="12.5" customHeight="1" x14ac:dyDescent="0.25"/>
    <row r="927" customFormat="1" ht="12.5" customHeight="1" x14ac:dyDescent="0.25"/>
    <row r="928" customFormat="1" ht="12.5" customHeight="1" x14ac:dyDescent="0.25"/>
    <row r="929" customFormat="1" ht="12.5" customHeight="1" x14ac:dyDescent="0.25"/>
    <row r="930" customFormat="1" ht="12.5" customHeight="1" x14ac:dyDescent="0.25"/>
    <row r="931" customFormat="1" ht="12.5" customHeight="1" x14ac:dyDescent="0.25"/>
    <row r="932" customFormat="1" ht="12.5" customHeight="1" x14ac:dyDescent="0.25"/>
    <row r="933" customFormat="1" ht="12.5" customHeight="1" x14ac:dyDescent="0.25"/>
    <row r="934" customFormat="1" ht="12.5" customHeight="1" x14ac:dyDescent="0.25"/>
    <row r="935" customFormat="1" ht="12.5" customHeight="1" x14ac:dyDescent="0.25"/>
    <row r="936" customFormat="1" ht="12.5" customHeight="1" x14ac:dyDescent="0.25"/>
    <row r="937" customFormat="1" ht="12.5" customHeight="1" x14ac:dyDescent="0.25"/>
    <row r="938" customFormat="1" ht="12.5" customHeight="1" x14ac:dyDescent="0.25"/>
    <row r="939" customFormat="1" ht="12.5" customHeight="1" x14ac:dyDescent="0.25"/>
    <row r="940" customFormat="1" ht="12.5" customHeight="1" x14ac:dyDescent="0.25"/>
    <row r="941" customFormat="1" ht="12.5" customHeight="1" x14ac:dyDescent="0.25"/>
    <row r="942" customFormat="1" ht="12.5" customHeight="1" x14ac:dyDescent="0.25"/>
    <row r="943" customFormat="1" ht="12.5" customHeight="1" x14ac:dyDescent="0.25"/>
    <row r="944" customFormat="1" ht="12.5" customHeight="1" x14ac:dyDescent="0.25"/>
    <row r="945" customFormat="1" ht="12.5" customHeight="1" x14ac:dyDescent="0.25"/>
    <row r="946" customFormat="1" ht="12.5" customHeight="1" x14ac:dyDescent="0.25"/>
    <row r="947" customFormat="1" ht="12.5" customHeight="1" x14ac:dyDescent="0.25"/>
    <row r="948" customFormat="1" ht="12.5" customHeight="1" x14ac:dyDescent="0.25"/>
    <row r="949" customFormat="1" ht="12.5" customHeight="1" x14ac:dyDescent="0.25"/>
    <row r="950" customFormat="1" ht="12.5" customHeight="1" x14ac:dyDescent="0.25"/>
    <row r="951" customFormat="1" ht="12.5" customHeight="1" x14ac:dyDescent="0.25"/>
    <row r="952" customFormat="1" ht="12.5" customHeight="1" x14ac:dyDescent="0.25"/>
    <row r="953" customFormat="1" ht="12.5" customHeight="1" x14ac:dyDescent="0.25"/>
    <row r="954" customFormat="1" ht="12.5" customHeight="1" x14ac:dyDescent="0.25"/>
    <row r="955" customFormat="1" ht="12.5" customHeight="1" x14ac:dyDescent="0.25"/>
    <row r="956" customFormat="1" ht="12.5" customHeight="1" x14ac:dyDescent="0.25"/>
    <row r="957" customFormat="1" ht="12.5" customHeight="1" x14ac:dyDescent="0.25"/>
    <row r="958" customFormat="1" ht="12.5" customHeight="1" x14ac:dyDescent="0.25"/>
    <row r="959" customFormat="1" ht="12.5" customHeight="1" x14ac:dyDescent="0.25"/>
    <row r="960" customFormat="1" ht="12.5" customHeight="1" x14ac:dyDescent="0.25"/>
    <row r="961" customFormat="1" ht="12.5" customHeight="1" x14ac:dyDescent="0.25"/>
    <row r="962" customFormat="1" ht="12.5" customHeight="1" x14ac:dyDescent="0.25"/>
    <row r="963" customFormat="1" ht="12.5" customHeight="1" x14ac:dyDescent="0.25"/>
    <row r="964" customFormat="1" ht="12.5" customHeight="1" x14ac:dyDescent="0.25"/>
    <row r="965" customFormat="1" ht="12.5" customHeight="1" x14ac:dyDescent="0.25"/>
    <row r="966" customFormat="1" ht="12.5" customHeight="1" x14ac:dyDescent="0.25"/>
    <row r="967" customFormat="1" ht="12.5" customHeight="1" x14ac:dyDescent="0.25"/>
    <row r="968" customFormat="1" ht="12.5" customHeight="1" x14ac:dyDescent="0.25"/>
    <row r="969" customFormat="1" ht="12.5" customHeight="1" x14ac:dyDescent="0.25"/>
    <row r="970" customFormat="1" ht="12.5" customHeight="1" x14ac:dyDescent="0.25"/>
    <row r="971" customFormat="1" ht="12.5" customHeight="1" x14ac:dyDescent="0.25"/>
    <row r="972" customFormat="1" ht="12.5" customHeight="1" x14ac:dyDescent="0.25"/>
    <row r="973" customFormat="1" ht="12.5" customHeight="1" x14ac:dyDescent="0.25"/>
    <row r="974" customFormat="1" ht="12.5" customHeight="1" x14ac:dyDescent="0.25"/>
    <row r="975" customFormat="1" ht="12.5" customHeight="1" x14ac:dyDescent="0.25"/>
    <row r="976" customFormat="1" ht="12.5" customHeight="1" x14ac:dyDescent="0.25"/>
    <row r="977" customFormat="1" ht="12.5" customHeight="1" x14ac:dyDescent="0.25"/>
    <row r="978" customFormat="1" ht="12.5" customHeight="1" x14ac:dyDescent="0.25"/>
    <row r="979" customFormat="1" ht="12.5" customHeight="1" x14ac:dyDescent="0.25"/>
    <row r="980" customFormat="1" ht="12.5" customHeight="1" x14ac:dyDescent="0.25"/>
    <row r="981" customFormat="1" ht="12.5" customHeight="1" x14ac:dyDescent="0.25"/>
    <row r="982" customFormat="1" ht="12.5" customHeight="1" x14ac:dyDescent="0.25"/>
    <row r="983" customFormat="1" ht="12.5" customHeight="1" x14ac:dyDescent="0.25"/>
    <row r="984" customFormat="1" ht="12.5" customHeight="1" x14ac:dyDescent="0.25"/>
    <row r="985" customFormat="1" ht="12.5" customHeight="1" x14ac:dyDescent="0.25"/>
    <row r="986" customFormat="1" ht="12.5" customHeight="1" x14ac:dyDescent="0.25"/>
    <row r="987" customFormat="1" ht="12.5" customHeight="1" x14ac:dyDescent="0.25"/>
    <row r="988" customFormat="1" ht="12.5" customHeight="1" x14ac:dyDescent="0.25"/>
    <row r="989" customFormat="1" ht="12.5" customHeight="1" x14ac:dyDescent="0.25"/>
    <row r="990" customFormat="1" ht="12.5" customHeight="1" x14ac:dyDescent="0.25"/>
    <row r="991" customFormat="1" ht="12.5" customHeight="1" x14ac:dyDescent="0.25"/>
    <row r="992" customFormat="1" ht="12.5" customHeight="1" x14ac:dyDescent="0.25"/>
    <row r="993" customFormat="1" ht="12.5" customHeight="1" x14ac:dyDescent="0.25"/>
    <row r="994" customFormat="1" ht="12.5" customHeight="1" x14ac:dyDescent="0.25"/>
    <row r="995" customFormat="1" ht="12.5" customHeight="1" x14ac:dyDescent="0.25"/>
    <row r="996" customFormat="1" ht="12.5" customHeight="1" x14ac:dyDescent="0.25"/>
    <row r="997" customFormat="1" ht="12.5" customHeight="1" x14ac:dyDescent="0.25"/>
    <row r="998" customFormat="1" ht="12.5" customHeight="1" x14ac:dyDescent="0.25"/>
    <row r="999" customFormat="1" ht="12.5" customHeight="1" x14ac:dyDescent="0.25"/>
    <row r="1000" customFormat="1" ht="12.5" customHeight="1" x14ac:dyDescent="0.25"/>
    <row r="1001" customFormat="1" ht="12.5" customHeight="1" x14ac:dyDescent="0.25"/>
    <row r="1002" customFormat="1" ht="12.5" customHeight="1" x14ac:dyDescent="0.25"/>
    <row r="1003" customFormat="1" ht="12.5" customHeight="1" x14ac:dyDescent="0.25"/>
    <row r="1004" customFormat="1" ht="12.5" customHeight="1" x14ac:dyDescent="0.25"/>
    <row r="1005" customFormat="1" ht="12.5" customHeight="1" x14ac:dyDescent="0.25"/>
    <row r="1006" customFormat="1" ht="12.5" customHeight="1" x14ac:dyDescent="0.25"/>
    <row r="1007" customFormat="1" ht="12.5" customHeight="1" x14ac:dyDescent="0.25"/>
    <row r="1008" customFormat="1" ht="12.5" customHeight="1" x14ac:dyDescent="0.25"/>
    <row r="1009" customFormat="1" ht="12.5" customHeight="1" x14ac:dyDescent="0.25"/>
    <row r="1010" customFormat="1" ht="12.5" customHeight="1" x14ac:dyDescent="0.25"/>
    <row r="1011" customFormat="1" ht="12.5" customHeight="1" x14ac:dyDescent="0.25"/>
    <row r="1012" customFormat="1" ht="12.5" customHeight="1" x14ac:dyDescent="0.25"/>
    <row r="1013" customFormat="1" ht="12.5" customHeight="1" x14ac:dyDescent="0.25"/>
    <row r="1014" customFormat="1" ht="12.5" customHeight="1" x14ac:dyDescent="0.25"/>
    <row r="1015" customFormat="1" ht="12.5" customHeight="1" x14ac:dyDescent="0.25"/>
    <row r="1016" customFormat="1" ht="12.5" customHeight="1" x14ac:dyDescent="0.25"/>
    <row r="1017" customFormat="1" ht="12.5" customHeight="1" x14ac:dyDescent="0.25"/>
    <row r="1018" customFormat="1" ht="12.5" customHeight="1" x14ac:dyDescent="0.25"/>
    <row r="1019" customFormat="1" ht="12.5" customHeight="1" x14ac:dyDescent="0.25"/>
    <row r="1020" customFormat="1" ht="12.5" customHeight="1" x14ac:dyDescent="0.25"/>
    <row r="1021" customFormat="1" ht="12.5" customHeight="1" x14ac:dyDescent="0.25"/>
    <row r="1022" customFormat="1" ht="12.5" customHeight="1" x14ac:dyDescent="0.25"/>
    <row r="1023" customFormat="1" ht="12.5" customHeight="1" x14ac:dyDescent="0.25"/>
    <row r="1024" customFormat="1" ht="12.5" customHeight="1" x14ac:dyDescent="0.25"/>
    <row r="1025" customFormat="1" ht="12.5" customHeight="1" x14ac:dyDescent="0.25"/>
    <row r="1026" customFormat="1" ht="12.5" customHeight="1" x14ac:dyDescent="0.25"/>
    <row r="1027" customFormat="1" ht="12.5" customHeight="1" x14ac:dyDescent="0.25"/>
    <row r="1028" customFormat="1" ht="12.5" customHeight="1" x14ac:dyDescent="0.25"/>
    <row r="1029" customFormat="1" ht="12.5" customHeight="1" x14ac:dyDescent="0.25"/>
    <row r="1030" customFormat="1" ht="12.5" customHeight="1" x14ac:dyDescent="0.25"/>
    <row r="1031" customFormat="1" ht="12.5" customHeight="1" x14ac:dyDescent="0.25"/>
    <row r="1032" customFormat="1" ht="12.5" customHeight="1" x14ac:dyDescent="0.25"/>
    <row r="1033" customFormat="1" ht="12.5" customHeight="1" x14ac:dyDescent="0.25"/>
    <row r="1034" customFormat="1" ht="12.5" customHeight="1" x14ac:dyDescent="0.25"/>
    <row r="1035" customFormat="1" ht="12.5" customHeight="1" x14ac:dyDescent="0.25"/>
    <row r="1036" customFormat="1" ht="12.5" customHeight="1" x14ac:dyDescent="0.25"/>
    <row r="1037" customFormat="1" ht="12.5" customHeight="1" x14ac:dyDescent="0.25"/>
    <row r="1038" customFormat="1" ht="12.5" customHeight="1" x14ac:dyDescent="0.25"/>
    <row r="1039" customFormat="1" ht="12.5" customHeight="1" x14ac:dyDescent="0.25"/>
    <row r="1040" customFormat="1" ht="12.5" customHeight="1" x14ac:dyDescent="0.25"/>
    <row r="1041" customFormat="1" ht="12.5" customHeight="1" x14ac:dyDescent="0.25"/>
    <row r="1042" customFormat="1" ht="12.5" customHeight="1" x14ac:dyDescent="0.25"/>
    <row r="1043" customFormat="1" ht="12.5" customHeight="1" x14ac:dyDescent="0.25"/>
    <row r="1044" customFormat="1" ht="12.5" customHeight="1" x14ac:dyDescent="0.25"/>
    <row r="1045" customFormat="1" ht="12.5" customHeight="1" x14ac:dyDescent="0.25"/>
    <row r="1046" customFormat="1" ht="12.5" customHeight="1" x14ac:dyDescent="0.25"/>
    <row r="1047" customFormat="1" ht="12.5" customHeight="1" x14ac:dyDescent="0.25"/>
    <row r="1048" customFormat="1" ht="12.5" customHeight="1" x14ac:dyDescent="0.25"/>
    <row r="1049" customFormat="1" ht="12.5" customHeight="1" x14ac:dyDescent="0.25"/>
    <row r="1050" customFormat="1" ht="12.5" customHeight="1" x14ac:dyDescent="0.25"/>
    <row r="1051" customFormat="1" ht="12.5" customHeight="1" x14ac:dyDescent="0.25"/>
    <row r="1052" customFormat="1" ht="12.5" customHeight="1" x14ac:dyDescent="0.25"/>
    <row r="1053" customFormat="1" ht="12.5" customHeight="1" x14ac:dyDescent="0.25"/>
    <row r="1054" customFormat="1" ht="12.5" customHeight="1" x14ac:dyDescent="0.25"/>
    <row r="1055" customFormat="1" ht="12.5" customHeight="1" x14ac:dyDescent="0.25"/>
    <row r="1056" customFormat="1" ht="12.5" customHeight="1" x14ac:dyDescent="0.25"/>
    <row r="1057" customFormat="1" ht="12.5" customHeight="1" x14ac:dyDescent="0.25"/>
    <row r="1058" customFormat="1" ht="12.5" customHeight="1" x14ac:dyDescent="0.25"/>
    <row r="1059" customFormat="1" ht="12.5" customHeight="1" x14ac:dyDescent="0.25"/>
    <row r="1060" customFormat="1" ht="12.5" customHeight="1" x14ac:dyDescent="0.25"/>
    <row r="1061" customFormat="1" ht="12.5" customHeight="1" x14ac:dyDescent="0.25"/>
    <row r="1062" customFormat="1" ht="12.5" customHeight="1" x14ac:dyDescent="0.25"/>
    <row r="1063" customFormat="1" ht="12.5" customHeight="1" x14ac:dyDescent="0.25"/>
    <row r="1064" customFormat="1" ht="12.5" customHeight="1" x14ac:dyDescent="0.25"/>
    <row r="1065" customFormat="1" ht="12.5" customHeight="1" x14ac:dyDescent="0.25"/>
    <row r="1066" customFormat="1" ht="12.5" customHeight="1" x14ac:dyDescent="0.25"/>
    <row r="1067" customFormat="1" ht="12.5" customHeight="1" x14ac:dyDescent="0.25"/>
    <row r="1068" customFormat="1" ht="12.5" customHeight="1" x14ac:dyDescent="0.25"/>
    <row r="1069" customFormat="1" ht="12.5" customHeight="1" x14ac:dyDescent="0.25"/>
    <row r="1070" customFormat="1" ht="12.5" customHeight="1" x14ac:dyDescent="0.25"/>
    <row r="1071" customFormat="1" ht="12.5" customHeight="1" x14ac:dyDescent="0.25"/>
    <row r="1072" customFormat="1" ht="12.5" customHeight="1" x14ac:dyDescent="0.25"/>
    <row r="1073" customFormat="1" ht="12.5" customHeight="1" x14ac:dyDescent="0.25"/>
    <row r="1074" customFormat="1" ht="12.5" customHeight="1" x14ac:dyDescent="0.25"/>
    <row r="1075" customFormat="1" ht="12.5" customHeight="1" x14ac:dyDescent="0.25"/>
    <row r="1076" customFormat="1" ht="12.5" customHeight="1" x14ac:dyDescent="0.25"/>
    <row r="1077" customFormat="1" ht="12.5" customHeight="1" x14ac:dyDescent="0.25"/>
    <row r="1078" customFormat="1" ht="12.5" customHeight="1" x14ac:dyDescent="0.25"/>
    <row r="1079" customFormat="1" ht="12.5" customHeight="1" x14ac:dyDescent="0.25"/>
    <row r="1080" customFormat="1" ht="12.5" customHeight="1" x14ac:dyDescent="0.25"/>
    <row r="1081" customFormat="1" ht="12.5" customHeight="1" x14ac:dyDescent="0.25"/>
    <row r="1082" customFormat="1" ht="12.5" customHeight="1" x14ac:dyDescent="0.25"/>
    <row r="1083" customFormat="1" ht="12.5" customHeight="1" x14ac:dyDescent="0.25"/>
    <row r="1084" customFormat="1" ht="12.5" customHeight="1" x14ac:dyDescent="0.25"/>
    <row r="1085" customFormat="1" ht="12.5" customHeight="1" x14ac:dyDescent="0.25"/>
    <row r="1086" customFormat="1" ht="12.5" customHeight="1" x14ac:dyDescent="0.25"/>
    <row r="1087" customFormat="1" ht="12.5" customHeight="1" x14ac:dyDescent="0.25"/>
    <row r="1088" customFormat="1" ht="12.5" customHeight="1" x14ac:dyDescent="0.25"/>
    <row r="1089" customFormat="1" ht="12.5" customHeight="1" x14ac:dyDescent="0.25"/>
    <row r="1090" customFormat="1" ht="12.5" customHeight="1" x14ac:dyDescent="0.25"/>
    <row r="1091" customFormat="1" ht="12.5" customHeight="1" x14ac:dyDescent="0.25"/>
    <row r="1092" customFormat="1" ht="12.5" customHeight="1" x14ac:dyDescent="0.25"/>
    <row r="1093" customFormat="1" ht="12.5" customHeight="1" x14ac:dyDescent="0.25"/>
    <row r="1094" customFormat="1" ht="12.5" customHeight="1" x14ac:dyDescent="0.25"/>
    <row r="1095" customFormat="1" ht="12.5" customHeight="1" x14ac:dyDescent="0.25"/>
    <row r="1096" customFormat="1" ht="12.5" customHeight="1" x14ac:dyDescent="0.25"/>
    <row r="1097" customFormat="1" ht="12.5" customHeight="1" x14ac:dyDescent="0.25"/>
    <row r="1098" customFormat="1" ht="12.5" customHeight="1" x14ac:dyDescent="0.25"/>
    <row r="1099" customFormat="1" ht="12.5" customHeight="1" x14ac:dyDescent="0.25"/>
    <row r="1100" customFormat="1" ht="12.5" customHeight="1" x14ac:dyDescent="0.25"/>
    <row r="1101" customFormat="1" ht="12.5" customHeight="1" x14ac:dyDescent="0.25"/>
    <row r="1102" customFormat="1" ht="12.5" customHeight="1" x14ac:dyDescent="0.25"/>
    <row r="1103" customFormat="1" ht="12.5" customHeight="1" x14ac:dyDescent="0.25"/>
    <row r="1104" customFormat="1" ht="12.5" customHeight="1" x14ac:dyDescent="0.25"/>
    <row r="1105" customFormat="1" ht="12.5" customHeight="1" x14ac:dyDescent="0.25"/>
    <row r="1106" customFormat="1" ht="12.5" customHeight="1" x14ac:dyDescent="0.25"/>
    <row r="1107" customFormat="1" ht="12.5" customHeight="1" x14ac:dyDescent="0.25"/>
    <row r="1108" customFormat="1" ht="12.5" customHeight="1" x14ac:dyDescent="0.25"/>
    <row r="1109" customFormat="1" ht="12.5" customHeight="1" x14ac:dyDescent="0.25"/>
    <row r="1110" customFormat="1" ht="12.5" customHeight="1" x14ac:dyDescent="0.25"/>
    <row r="1111" customFormat="1" ht="12.5" customHeight="1" x14ac:dyDescent="0.25"/>
    <row r="1112" customFormat="1" ht="12.5" customHeight="1" x14ac:dyDescent="0.25"/>
    <row r="1113" customFormat="1" ht="12.5" customHeight="1" x14ac:dyDescent="0.25"/>
    <row r="1114" customFormat="1" ht="12.5" customHeight="1" x14ac:dyDescent="0.25"/>
    <row r="1115" customFormat="1" ht="12.5" customHeight="1" x14ac:dyDescent="0.25"/>
    <row r="1116" customFormat="1" ht="12.5" customHeight="1" x14ac:dyDescent="0.25"/>
    <row r="1117" customFormat="1" ht="12.5" customHeight="1" x14ac:dyDescent="0.25"/>
    <row r="1118" customFormat="1" ht="12.5" customHeight="1" x14ac:dyDescent="0.25"/>
    <row r="1119" customFormat="1" ht="12.5" customHeight="1" x14ac:dyDescent="0.25"/>
    <row r="1120" customFormat="1" ht="12.5" customHeight="1" x14ac:dyDescent="0.25"/>
    <row r="1121" customFormat="1" ht="12.5" customHeight="1" x14ac:dyDescent="0.25"/>
    <row r="1122" customFormat="1" ht="12.5" customHeight="1" x14ac:dyDescent="0.25"/>
    <row r="1123" customFormat="1" ht="12.5" customHeight="1" x14ac:dyDescent="0.25"/>
    <row r="1124" customFormat="1" ht="12.5" customHeight="1" x14ac:dyDescent="0.25"/>
    <row r="1125" customFormat="1" ht="12.5" customHeight="1" x14ac:dyDescent="0.25"/>
    <row r="1126" customFormat="1" ht="12.5" customHeight="1" x14ac:dyDescent="0.25"/>
    <row r="1127" customFormat="1" ht="12.5" customHeight="1" x14ac:dyDescent="0.25"/>
    <row r="1128" customFormat="1" ht="12.5" customHeight="1" x14ac:dyDescent="0.25"/>
    <row r="1129" customFormat="1" ht="12.5" customHeight="1" x14ac:dyDescent="0.25"/>
    <row r="1130" customFormat="1" ht="12.5" customHeight="1" x14ac:dyDescent="0.25"/>
    <row r="1131" customFormat="1" ht="12.5" customHeight="1" x14ac:dyDescent="0.25"/>
    <row r="1132" customFormat="1" ht="12.5" customHeight="1" x14ac:dyDescent="0.25"/>
    <row r="1133" customFormat="1" ht="12.5" customHeight="1" x14ac:dyDescent="0.25"/>
    <row r="1134" customFormat="1" ht="12.5" customHeight="1" x14ac:dyDescent="0.25"/>
    <row r="1135" customFormat="1" ht="12.5" customHeight="1" x14ac:dyDescent="0.25"/>
    <row r="1136" customFormat="1" ht="12.5" customHeight="1" x14ac:dyDescent="0.25"/>
    <row r="1137" customFormat="1" ht="12.5" customHeight="1" x14ac:dyDescent="0.25"/>
    <row r="1138" customFormat="1" ht="12.5" customHeight="1" x14ac:dyDescent="0.25"/>
    <row r="1139" customFormat="1" ht="12.5" customHeight="1" x14ac:dyDescent="0.25"/>
    <row r="1140" customFormat="1" ht="12.5" customHeight="1" x14ac:dyDescent="0.25"/>
    <row r="1141" customFormat="1" ht="12.5" customHeight="1" x14ac:dyDescent="0.25"/>
    <row r="1142" customFormat="1" ht="12.5" customHeight="1" x14ac:dyDescent="0.25"/>
    <row r="1143" customFormat="1" ht="12.5" customHeight="1" x14ac:dyDescent="0.25"/>
    <row r="1144" customFormat="1" ht="12.5" customHeight="1" x14ac:dyDescent="0.25"/>
    <row r="1145" customFormat="1" ht="12.5" customHeight="1" x14ac:dyDescent="0.25"/>
    <row r="1146" customFormat="1" ht="12.5" customHeight="1" x14ac:dyDescent="0.25"/>
    <row r="1147" customFormat="1" ht="12.5" customHeight="1" x14ac:dyDescent="0.25"/>
    <row r="1148" customFormat="1" ht="12.5" customHeight="1" x14ac:dyDescent="0.25"/>
    <row r="1149" customFormat="1" ht="12.5" customHeight="1" x14ac:dyDescent="0.25"/>
    <row r="1150" customFormat="1" ht="12.5" customHeight="1" x14ac:dyDescent="0.25"/>
    <row r="1151" customFormat="1" ht="12.5" customHeight="1" x14ac:dyDescent="0.25"/>
    <row r="1152" customFormat="1" ht="12.5" customHeight="1" x14ac:dyDescent="0.25"/>
    <row r="1153" customFormat="1" ht="12.5" customHeight="1" x14ac:dyDescent="0.25"/>
    <row r="1154" customFormat="1" ht="12.5" customHeight="1" x14ac:dyDescent="0.25"/>
    <row r="1155" customFormat="1" ht="12.5" customHeight="1" x14ac:dyDescent="0.25"/>
    <row r="1156" customFormat="1" ht="12.5" customHeight="1" x14ac:dyDescent="0.25"/>
    <row r="1157" customFormat="1" ht="12.5" customHeight="1" x14ac:dyDescent="0.25"/>
    <row r="1158" customFormat="1" ht="12.5" customHeight="1" x14ac:dyDescent="0.25"/>
    <row r="1159" customFormat="1" ht="12.5" customHeight="1" x14ac:dyDescent="0.25"/>
    <row r="1160" customFormat="1" ht="12.5" customHeight="1" x14ac:dyDescent="0.25"/>
    <row r="1161" customFormat="1" ht="12.5" customHeight="1" x14ac:dyDescent="0.25"/>
    <row r="1162" customFormat="1" ht="12.5" customHeight="1" x14ac:dyDescent="0.25"/>
    <row r="1163" customFormat="1" ht="12.5" customHeight="1" x14ac:dyDescent="0.25"/>
    <row r="1164" customFormat="1" ht="12.5" customHeight="1" x14ac:dyDescent="0.25"/>
    <row r="1165" customFormat="1" ht="12.5" customHeight="1" x14ac:dyDescent="0.25"/>
    <row r="1166" customFormat="1" ht="12.5" customHeight="1" x14ac:dyDescent="0.25"/>
    <row r="1167" customFormat="1" ht="12.5" customHeight="1" x14ac:dyDescent="0.25"/>
    <row r="1168" customFormat="1" ht="12.5" customHeight="1" x14ac:dyDescent="0.25"/>
    <row r="1169" customFormat="1" ht="12.5" customHeight="1" x14ac:dyDescent="0.25"/>
    <row r="1170" customFormat="1" ht="12.5" customHeight="1" x14ac:dyDescent="0.25"/>
    <row r="1171" customFormat="1" ht="12.5" customHeight="1" x14ac:dyDescent="0.25"/>
    <row r="1172" customFormat="1" ht="12.5" customHeight="1" x14ac:dyDescent="0.25"/>
    <row r="1173" customFormat="1" ht="12.5" customHeight="1" x14ac:dyDescent="0.25"/>
    <row r="1174" customFormat="1" ht="12.5" customHeight="1" x14ac:dyDescent="0.25"/>
    <row r="1175" customFormat="1" ht="12.5" customHeight="1" x14ac:dyDescent="0.25"/>
    <row r="1176" customFormat="1" ht="12.5" customHeight="1" x14ac:dyDescent="0.25"/>
    <row r="1177" customFormat="1" ht="12.5" customHeight="1" x14ac:dyDescent="0.25"/>
    <row r="1178" customFormat="1" ht="12.5" customHeight="1" x14ac:dyDescent="0.25"/>
    <row r="1179" customFormat="1" ht="12.5" customHeight="1" x14ac:dyDescent="0.25"/>
    <row r="1180" customFormat="1" ht="12.5" customHeight="1" x14ac:dyDescent="0.25"/>
    <row r="1181" customFormat="1" ht="12.5" customHeight="1" x14ac:dyDescent="0.25"/>
    <row r="1182" customFormat="1" ht="12.5" customHeight="1" x14ac:dyDescent="0.25"/>
    <row r="1183" customFormat="1" ht="12.5" customHeight="1" x14ac:dyDescent="0.25"/>
    <row r="1184" customFormat="1" ht="12.5" customHeight="1" x14ac:dyDescent="0.25"/>
    <row r="1185" customFormat="1" ht="12.5" customHeight="1" x14ac:dyDescent="0.25"/>
    <row r="1186" customFormat="1" ht="12.5" customHeight="1" x14ac:dyDescent="0.25"/>
    <row r="1187" customFormat="1" ht="12.5" customHeight="1" x14ac:dyDescent="0.25"/>
    <row r="1188" customFormat="1" ht="12.5" customHeight="1" x14ac:dyDescent="0.25"/>
    <row r="1189" customFormat="1" ht="12.5" customHeight="1" x14ac:dyDescent="0.25"/>
    <row r="1190" customFormat="1" ht="12.5" customHeight="1" x14ac:dyDescent="0.25"/>
    <row r="1191" customFormat="1" ht="12.5" customHeight="1" x14ac:dyDescent="0.25"/>
    <row r="1192" customFormat="1" ht="12.5" customHeight="1" x14ac:dyDescent="0.25"/>
    <row r="1193" customFormat="1" ht="12.5" customHeight="1" x14ac:dyDescent="0.25"/>
    <row r="1194" customFormat="1" ht="12.5" customHeight="1" x14ac:dyDescent="0.25"/>
    <row r="1195" customFormat="1" ht="12.5" customHeight="1" x14ac:dyDescent="0.25"/>
    <row r="1196" customFormat="1" ht="12.5" customHeight="1" x14ac:dyDescent="0.25"/>
    <row r="1197" customFormat="1" ht="12.5" customHeight="1" x14ac:dyDescent="0.25"/>
    <row r="1198" customFormat="1" ht="12.5" customHeight="1" x14ac:dyDescent="0.25"/>
    <row r="1199" customFormat="1" ht="12.5" customHeight="1" x14ac:dyDescent="0.25"/>
    <row r="1200" customFormat="1" ht="12.5" customHeight="1" x14ac:dyDescent="0.25"/>
    <row r="1201" customFormat="1" ht="12.5" customHeight="1" x14ac:dyDescent="0.25"/>
    <row r="1202" customFormat="1" ht="12.5" customHeight="1" x14ac:dyDescent="0.25"/>
    <row r="1203" customFormat="1" ht="12.5" customHeight="1" x14ac:dyDescent="0.25"/>
    <row r="1204" customFormat="1" ht="12.5" customHeight="1" x14ac:dyDescent="0.25"/>
    <row r="1205" customFormat="1" ht="12.5" customHeight="1" x14ac:dyDescent="0.25"/>
    <row r="1206" customFormat="1" ht="12.5" customHeight="1" x14ac:dyDescent="0.25"/>
    <row r="1207" customFormat="1" ht="12.5" customHeight="1" x14ac:dyDescent="0.25"/>
    <row r="1208" customFormat="1" ht="12.5" customHeight="1" x14ac:dyDescent="0.25"/>
    <row r="1209" customFormat="1" ht="12.5" customHeight="1" x14ac:dyDescent="0.25"/>
    <row r="1210" customFormat="1" ht="12.5" customHeight="1" x14ac:dyDescent="0.25"/>
    <row r="1211" customFormat="1" ht="12.5" customHeight="1" x14ac:dyDescent="0.25"/>
    <row r="1212" customFormat="1" ht="12.5" customHeight="1" x14ac:dyDescent="0.25"/>
    <row r="1213" customFormat="1" ht="12.5" customHeight="1" x14ac:dyDescent="0.25"/>
    <row r="1214" customFormat="1" ht="12.5" customHeight="1" x14ac:dyDescent="0.25"/>
    <row r="1215" customFormat="1" ht="12.5" customHeight="1" x14ac:dyDescent="0.25"/>
    <row r="1216" customFormat="1" ht="12.5" customHeight="1" x14ac:dyDescent="0.25"/>
    <row r="1217" customFormat="1" ht="12.5" customHeight="1" x14ac:dyDescent="0.25"/>
    <row r="1218" customFormat="1" ht="12.5" customHeight="1" x14ac:dyDescent="0.25"/>
    <row r="1219" customFormat="1" ht="12.5" customHeight="1" x14ac:dyDescent="0.25"/>
    <row r="1220" customFormat="1" ht="12.5" customHeight="1" x14ac:dyDescent="0.25"/>
    <row r="1221" customFormat="1" ht="12.5" customHeight="1" x14ac:dyDescent="0.25"/>
    <row r="1222" customFormat="1" ht="12.5" customHeight="1" x14ac:dyDescent="0.25"/>
    <row r="1223" customFormat="1" ht="12.5" customHeight="1" x14ac:dyDescent="0.25"/>
    <row r="1224" customFormat="1" ht="12.5" customHeight="1" x14ac:dyDescent="0.25"/>
    <row r="1225" customFormat="1" ht="12.5" customHeight="1" x14ac:dyDescent="0.25"/>
    <row r="1226" customFormat="1" ht="12.5" customHeight="1" x14ac:dyDescent="0.25"/>
    <row r="1227" customFormat="1" ht="12.5" customHeight="1" x14ac:dyDescent="0.25"/>
    <row r="1228" customFormat="1" ht="12.5" customHeight="1" x14ac:dyDescent="0.25"/>
    <row r="1229" customFormat="1" ht="12.5" customHeight="1" x14ac:dyDescent="0.25"/>
    <row r="1230" customFormat="1" ht="12.5" customHeight="1" x14ac:dyDescent="0.25"/>
    <row r="1231" customFormat="1" ht="12.5" customHeight="1" x14ac:dyDescent="0.25"/>
    <row r="1232" customFormat="1" ht="12.5" customHeight="1" x14ac:dyDescent="0.25"/>
    <row r="1233" customFormat="1" ht="12.5" customHeight="1" x14ac:dyDescent="0.25"/>
    <row r="1234" customFormat="1" ht="12.5" customHeight="1" x14ac:dyDescent="0.25"/>
    <row r="1235" customFormat="1" ht="12.5" customHeight="1" x14ac:dyDescent="0.25"/>
    <row r="1236" customFormat="1" ht="12.5" customHeight="1" x14ac:dyDescent="0.25"/>
    <row r="1237" customFormat="1" ht="12.5" customHeight="1" x14ac:dyDescent="0.25"/>
    <row r="1238" customFormat="1" ht="12.5" customHeight="1" x14ac:dyDescent="0.25"/>
    <row r="1239" customFormat="1" ht="12.5" customHeight="1" x14ac:dyDescent="0.25"/>
    <row r="1240" customFormat="1" ht="12.5" customHeight="1" x14ac:dyDescent="0.25"/>
    <row r="1241" customFormat="1" ht="12.5" customHeight="1" x14ac:dyDescent="0.25"/>
    <row r="1242" customFormat="1" ht="12.5" customHeight="1" x14ac:dyDescent="0.25"/>
    <row r="1243" customFormat="1" ht="12.5" customHeight="1" x14ac:dyDescent="0.25"/>
    <row r="1244" customFormat="1" ht="12.5" customHeight="1" x14ac:dyDescent="0.25"/>
    <row r="1245" customFormat="1" ht="12.5" customHeight="1" x14ac:dyDescent="0.25"/>
    <row r="1246" customFormat="1" ht="12.5" customHeight="1" x14ac:dyDescent="0.25"/>
    <row r="1247" customFormat="1" ht="12.5" customHeight="1" x14ac:dyDescent="0.25"/>
    <row r="1248" customFormat="1" ht="12.5" customHeight="1" x14ac:dyDescent="0.25"/>
    <row r="1249" customFormat="1" ht="12.5" customHeight="1" x14ac:dyDescent="0.25"/>
    <row r="1250" customFormat="1" ht="12.5" customHeight="1" x14ac:dyDescent="0.25"/>
    <row r="1251" customFormat="1" ht="12.5" customHeight="1" x14ac:dyDescent="0.25"/>
    <row r="1252" customFormat="1" ht="12.5" customHeight="1" x14ac:dyDescent="0.25"/>
    <row r="1253" customFormat="1" ht="12.5" customHeight="1" x14ac:dyDescent="0.25"/>
    <row r="1254" customFormat="1" ht="12.5" customHeight="1" x14ac:dyDescent="0.25"/>
    <row r="1255" customFormat="1" ht="12.5" customHeight="1" x14ac:dyDescent="0.25"/>
    <row r="1256" customFormat="1" ht="12.5" customHeight="1" x14ac:dyDescent="0.25"/>
    <row r="1257" customFormat="1" ht="12.5" customHeight="1" x14ac:dyDescent="0.25"/>
    <row r="1258" customFormat="1" ht="12.5" customHeight="1" x14ac:dyDescent="0.25"/>
    <row r="1259" customFormat="1" ht="12.5" customHeight="1" x14ac:dyDescent="0.25"/>
    <row r="1260" customFormat="1" ht="12.5" customHeight="1" x14ac:dyDescent="0.25"/>
    <row r="1261" customFormat="1" ht="12.5" customHeight="1" x14ac:dyDescent="0.25"/>
    <row r="1262" customFormat="1" ht="12.5" customHeight="1" x14ac:dyDescent="0.25"/>
    <row r="1263" customFormat="1" ht="12.5" customHeight="1" x14ac:dyDescent="0.25"/>
    <row r="1264" customFormat="1" ht="12.5" customHeight="1" x14ac:dyDescent="0.25"/>
    <row r="1265" customFormat="1" ht="12.5" customHeight="1" x14ac:dyDescent="0.25"/>
    <row r="1266" customFormat="1" ht="12.5" customHeight="1" x14ac:dyDescent="0.25"/>
    <row r="1267" customFormat="1" ht="12.5" customHeight="1" x14ac:dyDescent="0.25"/>
    <row r="1268" customFormat="1" ht="12.5" customHeight="1" x14ac:dyDescent="0.25"/>
    <row r="1269" customFormat="1" ht="12.5" customHeight="1" x14ac:dyDescent="0.25"/>
    <row r="1270" customFormat="1" ht="12.5" customHeight="1" x14ac:dyDescent="0.25"/>
    <row r="1271" customFormat="1" ht="12.5" customHeight="1" x14ac:dyDescent="0.25"/>
    <row r="1272" customFormat="1" ht="12.5" customHeight="1" x14ac:dyDescent="0.25"/>
    <row r="1273" customFormat="1" ht="12.5" customHeight="1" x14ac:dyDescent="0.25"/>
    <row r="1274" customFormat="1" ht="12.5" customHeight="1" x14ac:dyDescent="0.25"/>
    <row r="1275" customFormat="1" ht="12.5" customHeight="1" x14ac:dyDescent="0.25"/>
    <row r="1276" customFormat="1" ht="12.5" customHeight="1" x14ac:dyDescent="0.25"/>
    <row r="1277" customFormat="1" ht="12.5" customHeight="1" x14ac:dyDescent="0.25"/>
    <row r="1278" customFormat="1" ht="12.5" customHeight="1" x14ac:dyDescent="0.25"/>
    <row r="1279" customFormat="1" ht="12.5" customHeight="1" x14ac:dyDescent="0.25"/>
    <row r="1280" customFormat="1" ht="12.5" customHeight="1" x14ac:dyDescent="0.25"/>
    <row r="1281" customFormat="1" ht="12.5" customHeight="1" x14ac:dyDescent="0.25"/>
    <row r="1282" customFormat="1" ht="12.5" customHeight="1" x14ac:dyDescent="0.25"/>
    <row r="1283" customFormat="1" ht="12.5" customHeight="1" x14ac:dyDescent="0.25"/>
    <row r="1284" customFormat="1" ht="12.5" customHeight="1" x14ac:dyDescent="0.25"/>
    <row r="1285" customFormat="1" ht="12.5" customHeight="1" x14ac:dyDescent="0.25"/>
    <row r="1286" customFormat="1" ht="12.5" customHeight="1" x14ac:dyDescent="0.25"/>
    <row r="1287" customFormat="1" ht="12.5" customHeight="1" x14ac:dyDescent="0.25"/>
    <row r="1288" customFormat="1" ht="12.5" customHeight="1" x14ac:dyDescent="0.25"/>
    <row r="1289" customFormat="1" ht="12.5" customHeight="1" x14ac:dyDescent="0.25"/>
    <row r="1290" customFormat="1" ht="12.5" customHeight="1" x14ac:dyDescent="0.25"/>
    <row r="1291" customFormat="1" ht="12.5" customHeight="1" x14ac:dyDescent="0.25"/>
    <row r="1292" customFormat="1" ht="12.5" customHeight="1" x14ac:dyDescent="0.25"/>
    <row r="1293" customFormat="1" ht="12.5" customHeight="1" x14ac:dyDescent="0.25"/>
    <row r="1294" customFormat="1" ht="12.5" customHeight="1" x14ac:dyDescent="0.25"/>
    <row r="1295" customFormat="1" ht="12.5" customHeight="1" x14ac:dyDescent="0.25"/>
    <row r="1296" customFormat="1" ht="12.5" customHeight="1" x14ac:dyDescent="0.25"/>
    <row r="1297" customFormat="1" ht="12.5" customHeight="1" x14ac:dyDescent="0.25"/>
    <row r="1298" customFormat="1" ht="12.5" customHeight="1" x14ac:dyDescent="0.25"/>
    <row r="1299" customFormat="1" ht="12.5" customHeight="1" x14ac:dyDescent="0.25"/>
    <row r="1300" customFormat="1" ht="12.5" customHeight="1" x14ac:dyDescent="0.25"/>
    <row r="1301" customFormat="1" ht="12.5" customHeight="1" x14ac:dyDescent="0.25"/>
    <row r="1302" customFormat="1" ht="12.5" customHeight="1" x14ac:dyDescent="0.25"/>
    <row r="1303" customFormat="1" ht="12.5" customHeight="1" x14ac:dyDescent="0.25"/>
    <row r="1304" customFormat="1" ht="12.5" customHeight="1" x14ac:dyDescent="0.25"/>
    <row r="1305" customFormat="1" ht="12.5" customHeight="1" x14ac:dyDescent="0.25"/>
    <row r="1306" customFormat="1" ht="12.5" customHeight="1" x14ac:dyDescent="0.25"/>
    <row r="1307" customFormat="1" ht="12.5" customHeight="1" x14ac:dyDescent="0.25"/>
    <row r="1308" customFormat="1" ht="12.5" customHeight="1" x14ac:dyDescent="0.25"/>
    <row r="1309" customFormat="1" ht="12.5" customHeight="1" x14ac:dyDescent="0.25"/>
    <row r="1310" customFormat="1" ht="12.5" customHeight="1" x14ac:dyDescent="0.25"/>
    <row r="1311" customFormat="1" ht="12.5" customHeight="1" x14ac:dyDescent="0.25"/>
    <row r="1312" customFormat="1" ht="12.5" customHeight="1" x14ac:dyDescent="0.25"/>
    <row r="1313" customFormat="1" ht="12.5" customHeight="1" x14ac:dyDescent="0.25"/>
    <row r="1314" customFormat="1" ht="12.5" customHeight="1" x14ac:dyDescent="0.25"/>
    <row r="1315" customFormat="1" ht="12.5" customHeight="1" x14ac:dyDescent="0.25"/>
    <row r="1316" customFormat="1" ht="12.5" customHeight="1" x14ac:dyDescent="0.25"/>
    <row r="1317" customFormat="1" ht="12.5" customHeight="1" x14ac:dyDescent="0.25"/>
    <row r="1318" customFormat="1" ht="12.5" customHeight="1" x14ac:dyDescent="0.25"/>
    <row r="1319" customFormat="1" ht="12.5" customHeight="1" x14ac:dyDescent="0.25"/>
    <row r="1320" customFormat="1" ht="12.5" customHeight="1" x14ac:dyDescent="0.25"/>
    <row r="1321" customFormat="1" ht="12.5" customHeight="1" x14ac:dyDescent="0.25"/>
    <row r="1322" customFormat="1" ht="12.5" customHeight="1" x14ac:dyDescent="0.25"/>
    <row r="1323" customFormat="1" ht="12.5" customHeight="1" x14ac:dyDescent="0.25"/>
    <row r="1324" customFormat="1" ht="12.5" customHeight="1" x14ac:dyDescent="0.25"/>
    <row r="1325" customFormat="1" ht="12.5" customHeight="1" x14ac:dyDescent="0.25"/>
    <row r="1326" customFormat="1" ht="12.5" customHeight="1" x14ac:dyDescent="0.25"/>
    <row r="1327" customFormat="1" ht="12.5" customHeight="1" x14ac:dyDescent="0.25"/>
    <row r="1328" customFormat="1" ht="12.5" customHeight="1" x14ac:dyDescent="0.25"/>
    <row r="1329" customFormat="1" ht="12.5" customHeight="1" x14ac:dyDescent="0.25"/>
    <row r="1330" customFormat="1" ht="12.5" customHeight="1" x14ac:dyDescent="0.25"/>
    <row r="1331" customFormat="1" ht="12.5" customHeight="1" x14ac:dyDescent="0.25"/>
    <row r="1332" customFormat="1" ht="12.5" customHeight="1" x14ac:dyDescent="0.25"/>
    <row r="1333" customFormat="1" ht="12.5" customHeight="1" x14ac:dyDescent="0.25"/>
    <row r="1334" customFormat="1" ht="12.5" customHeight="1" x14ac:dyDescent="0.25"/>
    <row r="1335" customFormat="1" ht="12.5" customHeight="1" x14ac:dyDescent="0.25"/>
    <row r="1336" customFormat="1" ht="12.5" customHeight="1" x14ac:dyDescent="0.25"/>
    <row r="1337" customFormat="1" ht="12.5" customHeight="1" x14ac:dyDescent="0.25"/>
    <row r="1338" customFormat="1" ht="12.5" customHeight="1" x14ac:dyDescent="0.25"/>
    <row r="1339" customFormat="1" ht="12.5" customHeight="1" x14ac:dyDescent="0.25"/>
    <row r="1340" customFormat="1" ht="12.5" customHeight="1" x14ac:dyDescent="0.25"/>
    <row r="1341" customFormat="1" ht="12.5" customHeight="1" x14ac:dyDescent="0.25"/>
    <row r="1342" customFormat="1" ht="12.5" customHeight="1" x14ac:dyDescent="0.25"/>
    <row r="1343" customFormat="1" ht="12.5" customHeight="1" x14ac:dyDescent="0.25"/>
    <row r="1344" customFormat="1" ht="12.5" customHeight="1" x14ac:dyDescent="0.25"/>
    <row r="1345" customFormat="1" ht="12.5" customHeight="1" x14ac:dyDescent="0.25"/>
    <row r="1346" customFormat="1" ht="12.5" customHeight="1" x14ac:dyDescent="0.25"/>
    <row r="1347" customFormat="1" ht="12.5" customHeight="1" x14ac:dyDescent="0.25"/>
    <row r="1348" customFormat="1" ht="12.5" customHeight="1" x14ac:dyDescent="0.25"/>
    <row r="1349" customFormat="1" ht="12.5" customHeight="1" x14ac:dyDescent="0.25"/>
    <row r="1350" customFormat="1" ht="12.5" customHeight="1" x14ac:dyDescent="0.25"/>
    <row r="1351" customFormat="1" ht="12.5" customHeight="1" x14ac:dyDescent="0.25"/>
    <row r="1352" customFormat="1" ht="12.5" customHeight="1" x14ac:dyDescent="0.25"/>
    <row r="1353" customFormat="1" ht="12.5" customHeight="1" x14ac:dyDescent="0.25"/>
    <row r="1354" customFormat="1" ht="12.5" customHeight="1" x14ac:dyDescent="0.25"/>
    <row r="1355" customFormat="1" ht="12.5" customHeight="1" x14ac:dyDescent="0.25"/>
    <row r="1356" customFormat="1" ht="12.5" customHeight="1" x14ac:dyDescent="0.25"/>
    <row r="1357" customFormat="1" ht="12.5" customHeight="1" x14ac:dyDescent="0.25"/>
    <row r="1358" customFormat="1" ht="12.5" customHeight="1" x14ac:dyDescent="0.25"/>
    <row r="1359" customFormat="1" ht="12.5" customHeight="1" x14ac:dyDescent="0.25"/>
    <row r="1360" customFormat="1" ht="12.5" customHeight="1" x14ac:dyDescent="0.25"/>
    <row r="1361" customFormat="1" ht="12.5" customHeight="1" x14ac:dyDescent="0.25"/>
    <row r="1362" customFormat="1" ht="12.5" customHeight="1" x14ac:dyDescent="0.25"/>
    <row r="1363" customFormat="1" ht="12.5" customHeight="1" x14ac:dyDescent="0.25"/>
    <row r="1364" customFormat="1" ht="12.5" customHeight="1" x14ac:dyDescent="0.25"/>
    <row r="1365" customFormat="1" ht="12.5" customHeight="1" x14ac:dyDescent="0.25"/>
    <row r="1366" customFormat="1" ht="12.5" customHeight="1" x14ac:dyDescent="0.25"/>
    <row r="1367" customFormat="1" ht="12.5" customHeight="1" x14ac:dyDescent="0.25"/>
    <row r="1368" customFormat="1" ht="12.5" customHeight="1" x14ac:dyDescent="0.25"/>
    <row r="1369" customFormat="1" ht="12.5" customHeight="1" x14ac:dyDescent="0.25"/>
    <row r="1370" customFormat="1" ht="12.5" customHeight="1" x14ac:dyDescent="0.25"/>
    <row r="1371" customFormat="1" ht="12.5" customHeight="1" x14ac:dyDescent="0.25"/>
    <row r="1372" customFormat="1" ht="12.5" customHeight="1" x14ac:dyDescent="0.25"/>
    <row r="1373" customFormat="1" ht="12.5" customHeight="1" x14ac:dyDescent="0.25"/>
    <row r="1374" customFormat="1" ht="12.5" customHeight="1" x14ac:dyDescent="0.25"/>
    <row r="1375" customFormat="1" ht="12.5" customHeight="1" x14ac:dyDescent="0.25"/>
    <row r="1376" customFormat="1" ht="12.5" customHeight="1" x14ac:dyDescent="0.25"/>
    <row r="1377" customFormat="1" ht="12.5" customHeight="1" x14ac:dyDescent="0.25"/>
    <row r="1378" customFormat="1" ht="12.5" customHeight="1" x14ac:dyDescent="0.25"/>
    <row r="1379" customFormat="1" ht="12.5" customHeight="1" x14ac:dyDescent="0.25"/>
    <row r="1380" customFormat="1" ht="12.5" customHeight="1" x14ac:dyDescent="0.25"/>
    <row r="1381" customFormat="1" ht="12.5" customHeight="1" x14ac:dyDescent="0.25"/>
    <row r="1382" customFormat="1" ht="12.5" customHeight="1" x14ac:dyDescent="0.25"/>
    <row r="1383" customFormat="1" ht="12.5" customHeight="1" x14ac:dyDescent="0.25"/>
    <row r="1384" customFormat="1" ht="12.5" customHeight="1" x14ac:dyDescent="0.25"/>
    <row r="1385" customFormat="1" ht="12.5" customHeight="1" x14ac:dyDescent="0.25"/>
    <row r="1386" customFormat="1" ht="12.5" customHeight="1" x14ac:dyDescent="0.25"/>
    <row r="1387" customFormat="1" ht="12.5" customHeight="1" x14ac:dyDescent="0.25"/>
    <row r="1388" customFormat="1" ht="12.5" customHeight="1" x14ac:dyDescent="0.25"/>
    <row r="1389" customFormat="1" ht="12.5" customHeight="1" x14ac:dyDescent="0.25"/>
    <row r="1390" customFormat="1" ht="12.5" customHeight="1" x14ac:dyDescent="0.25"/>
    <row r="1391" customFormat="1" ht="12.5" customHeight="1" x14ac:dyDescent="0.25"/>
    <row r="1392" customFormat="1" ht="12.5" customHeight="1" x14ac:dyDescent="0.25"/>
    <row r="1393" customFormat="1" ht="12.5" customHeight="1" x14ac:dyDescent="0.25"/>
    <row r="1394" customFormat="1" ht="12.5" customHeight="1" x14ac:dyDescent="0.25"/>
    <row r="1395" customFormat="1" ht="12.5" customHeight="1" x14ac:dyDescent="0.25"/>
    <row r="1396" customFormat="1" ht="12.5" customHeight="1" x14ac:dyDescent="0.25"/>
    <row r="1397" customFormat="1" ht="12.5" customHeight="1" x14ac:dyDescent="0.25"/>
    <row r="1398" customFormat="1" ht="12.5" customHeight="1" x14ac:dyDescent="0.25"/>
    <row r="1399" customFormat="1" ht="12.5" customHeight="1" x14ac:dyDescent="0.25"/>
    <row r="1400" customFormat="1" ht="12.5" customHeight="1" x14ac:dyDescent="0.25"/>
    <row r="1401" customFormat="1" ht="12.5" customHeight="1" x14ac:dyDescent="0.25"/>
    <row r="1402" customFormat="1" ht="12.5" customHeight="1" x14ac:dyDescent="0.25"/>
    <row r="1403" customFormat="1" ht="12.5" customHeight="1" x14ac:dyDescent="0.25"/>
    <row r="1404" customFormat="1" ht="12.5" customHeight="1" x14ac:dyDescent="0.25"/>
    <row r="1405" customFormat="1" ht="12.5" customHeight="1" x14ac:dyDescent="0.25"/>
    <row r="1406" customFormat="1" ht="12.5" customHeight="1" x14ac:dyDescent="0.25"/>
    <row r="1407" customFormat="1" ht="12.5" customHeight="1" x14ac:dyDescent="0.25"/>
    <row r="1408" customFormat="1" ht="12.5" customHeight="1" x14ac:dyDescent="0.25"/>
    <row r="1409" customFormat="1" ht="12.5" customHeight="1" x14ac:dyDescent="0.25"/>
    <row r="1410" customFormat="1" ht="12.5" customHeight="1" x14ac:dyDescent="0.25"/>
    <row r="1411" customFormat="1" ht="12.5" customHeight="1" x14ac:dyDescent="0.25"/>
    <row r="1412" customFormat="1" ht="12.5" customHeight="1" x14ac:dyDescent="0.25"/>
    <row r="1413" customFormat="1" ht="12.5" customHeight="1" x14ac:dyDescent="0.25"/>
    <row r="1414" customFormat="1" ht="12.5" customHeight="1" x14ac:dyDescent="0.25"/>
    <row r="1415" customFormat="1" ht="12.5" customHeight="1" x14ac:dyDescent="0.25"/>
    <row r="1416" customFormat="1" ht="12.5" customHeight="1" x14ac:dyDescent="0.25"/>
    <row r="1417" customFormat="1" ht="12.5" customHeight="1" x14ac:dyDescent="0.25"/>
    <row r="1418" customFormat="1" ht="12.5" customHeight="1" x14ac:dyDescent="0.25"/>
    <row r="1419" customFormat="1" ht="12.5" customHeight="1" x14ac:dyDescent="0.25"/>
    <row r="1420" customFormat="1" ht="12.5" customHeight="1" x14ac:dyDescent="0.25"/>
    <row r="1421" customFormat="1" ht="12.5" customHeight="1" x14ac:dyDescent="0.25"/>
    <row r="1422" customFormat="1" ht="12.5" customHeight="1" x14ac:dyDescent="0.25"/>
    <row r="1423" customFormat="1" ht="12.5" customHeight="1" x14ac:dyDescent="0.25"/>
    <row r="1424" customFormat="1" ht="12.5" customHeight="1" x14ac:dyDescent="0.25"/>
    <row r="1425" customFormat="1" ht="12.5" customHeight="1" x14ac:dyDescent="0.25"/>
    <row r="1426" customFormat="1" ht="12.5" customHeight="1" x14ac:dyDescent="0.25"/>
    <row r="1427" customFormat="1" ht="12.5" customHeight="1" x14ac:dyDescent="0.25"/>
    <row r="1428" customFormat="1" ht="12.5" customHeight="1" x14ac:dyDescent="0.25"/>
    <row r="1429" customFormat="1" ht="12.5" customHeight="1" x14ac:dyDescent="0.25"/>
    <row r="1430" customFormat="1" ht="12.5" customHeight="1" x14ac:dyDescent="0.25"/>
    <row r="1431" customFormat="1" ht="12.5" customHeight="1" x14ac:dyDescent="0.25"/>
    <row r="1432" customFormat="1" ht="12.5" customHeight="1" x14ac:dyDescent="0.25"/>
    <row r="1433" customFormat="1" ht="12.5" customHeight="1" x14ac:dyDescent="0.25"/>
    <row r="1434" customFormat="1" ht="12.5" customHeight="1" x14ac:dyDescent="0.25"/>
    <row r="1435" customFormat="1" ht="12.5" customHeight="1" x14ac:dyDescent="0.25"/>
    <row r="1436" customFormat="1" ht="12.5" customHeight="1" x14ac:dyDescent="0.25"/>
    <row r="1437" customFormat="1" ht="12.5" customHeight="1" x14ac:dyDescent="0.25"/>
    <row r="1438" customFormat="1" ht="12.5" customHeight="1" x14ac:dyDescent="0.25"/>
    <row r="1439" customFormat="1" ht="12.5" customHeight="1" x14ac:dyDescent="0.25"/>
    <row r="1440" customFormat="1" ht="12.5" customHeight="1" x14ac:dyDescent="0.25"/>
    <row r="1441" customFormat="1" ht="12.5" customHeight="1" x14ac:dyDescent="0.25"/>
    <row r="1442" customFormat="1" ht="12.5" customHeight="1" x14ac:dyDescent="0.25"/>
    <row r="1443" customFormat="1" ht="12.5" customHeight="1" x14ac:dyDescent="0.25"/>
    <row r="1444" customFormat="1" ht="12.5" customHeight="1" x14ac:dyDescent="0.25"/>
    <row r="1445" customFormat="1" ht="12.5" customHeight="1" x14ac:dyDescent="0.25"/>
    <row r="1446" customFormat="1" ht="12.5" customHeight="1" x14ac:dyDescent="0.25"/>
    <row r="1447" customFormat="1" ht="12.5" customHeight="1" x14ac:dyDescent="0.25"/>
    <row r="1448" customFormat="1" ht="12.5" customHeight="1" x14ac:dyDescent="0.25"/>
    <row r="1449" customFormat="1" ht="12.5" customHeight="1" x14ac:dyDescent="0.25"/>
    <row r="1450" customFormat="1" ht="12.5" customHeight="1" x14ac:dyDescent="0.25"/>
    <row r="1451" customFormat="1" ht="12.5" customHeight="1" x14ac:dyDescent="0.25"/>
    <row r="1452" customFormat="1" ht="12.5" customHeight="1" x14ac:dyDescent="0.25"/>
    <row r="1453" customFormat="1" ht="12.5" customHeight="1" x14ac:dyDescent="0.25"/>
    <row r="1454" customFormat="1" ht="12.5" customHeight="1" x14ac:dyDescent="0.25"/>
    <row r="1455" customFormat="1" ht="12.5" customHeight="1" x14ac:dyDescent="0.25"/>
    <row r="1456" customFormat="1" ht="12.5" customHeight="1" x14ac:dyDescent="0.25"/>
    <row r="1457" customFormat="1" ht="12.5" customHeight="1" x14ac:dyDescent="0.25"/>
    <row r="1458" customFormat="1" ht="12.5" customHeight="1" x14ac:dyDescent="0.25"/>
    <row r="1459" customFormat="1" ht="12.5" customHeight="1" x14ac:dyDescent="0.25"/>
    <row r="1460" customFormat="1" ht="12.5" customHeight="1" x14ac:dyDescent="0.25"/>
    <row r="1461" customFormat="1" ht="12.5" customHeight="1" x14ac:dyDescent="0.25"/>
    <row r="1462" customFormat="1" ht="12.5" customHeight="1" x14ac:dyDescent="0.25"/>
    <row r="1463" customFormat="1" ht="12.5" customHeight="1" x14ac:dyDescent="0.25"/>
    <row r="1464" customFormat="1" ht="12.5" customHeight="1" x14ac:dyDescent="0.25"/>
    <row r="1465" customFormat="1" ht="12.5" customHeight="1" x14ac:dyDescent="0.25"/>
    <row r="1466" customFormat="1" ht="12.5" customHeight="1" x14ac:dyDescent="0.25"/>
    <row r="1467" customFormat="1" ht="12.5" customHeight="1" x14ac:dyDescent="0.25"/>
    <row r="1468" customFormat="1" ht="12.5" customHeight="1" x14ac:dyDescent="0.25"/>
    <row r="1469" customFormat="1" ht="12.5" customHeight="1" x14ac:dyDescent="0.25"/>
    <row r="1470" customFormat="1" ht="12.5" customHeight="1" x14ac:dyDescent="0.25"/>
    <row r="1471" customFormat="1" ht="12.5" customHeight="1" x14ac:dyDescent="0.25"/>
    <row r="1472" customFormat="1" ht="12.5" customHeight="1" x14ac:dyDescent="0.25"/>
    <row r="1473" customFormat="1" ht="12.5" customHeight="1" x14ac:dyDescent="0.25"/>
    <row r="1474" customFormat="1" ht="12.5" customHeight="1" x14ac:dyDescent="0.25"/>
    <row r="1475" customFormat="1" ht="12.5" customHeight="1" x14ac:dyDescent="0.25"/>
    <row r="1476" customFormat="1" ht="12.5" customHeight="1" x14ac:dyDescent="0.25"/>
    <row r="1477" customFormat="1" ht="12.5" customHeight="1" x14ac:dyDescent="0.25"/>
    <row r="1478" customFormat="1" ht="12.5" customHeight="1" x14ac:dyDescent="0.25"/>
    <row r="1479" customFormat="1" ht="12.5" customHeight="1" x14ac:dyDescent="0.25"/>
    <row r="1480" customFormat="1" ht="12.5" customHeight="1" x14ac:dyDescent="0.25"/>
    <row r="1481" customFormat="1" ht="12.5" customHeight="1" x14ac:dyDescent="0.25"/>
    <row r="1482" customFormat="1" ht="12.5" customHeight="1" x14ac:dyDescent="0.25"/>
    <row r="1483" customFormat="1" ht="12.5" customHeight="1" x14ac:dyDescent="0.25"/>
    <row r="1484" customFormat="1" ht="12.5" customHeight="1" x14ac:dyDescent="0.25"/>
    <row r="1485" customFormat="1" ht="12.5" customHeight="1" x14ac:dyDescent="0.25"/>
    <row r="1486" customFormat="1" ht="12.5" customHeight="1" x14ac:dyDescent="0.25"/>
    <row r="1487" customFormat="1" ht="12.5" customHeight="1" x14ac:dyDescent="0.25"/>
    <row r="1488" customFormat="1" ht="12.5" customHeight="1" x14ac:dyDescent="0.25"/>
    <row r="1489" customFormat="1" ht="12.5" customHeight="1" x14ac:dyDescent="0.25"/>
    <row r="1490" customFormat="1" ht="12.5" customHeight="1" x14ac:dyDescent="0.25"/>
    <row r="1491" customFormat="1" ht="12.5" customHeight="1" x14ac:dyDescent="0.25"/>
    <row r="1492" customFormat="1" ht="12.5" customHeight="1" x14ac:dyDescent="0.25"/>
    <row r="1493" customFormat="1" ht="12.5" customHeight="1" x14ac:dyDescent="0.25"/>
    <row r="1494" customFormat="1" ht="12.5" customHeight="1" x14ac:dyDescent="0.25"/>
    <row r="1495" customFormat="1" ht="12.5" customHeight="1" x14ac:dyDescent="0.25"/>
    <row r="1496" customFormat="1" ht="12.5" customHeight="1" x14ac:dyDescent="0.25"/>
    <row r="1497" customFormat="1" ht="12.5" customHeight="1" x14ac:dyDescent="0.25"/>
    <row r="1498" customFormat="1" ht="12.5" customHeight="1" x14ac:dyDescent="0.25"/>
    <row r="1499" customFormat="1" ht="12.5" customHeight="1" x14ac:dyDescent="0.25"/>
    <row r="1500" customFormat="1" ht="12.5" customHeight="1" x14ac:dyDescent="0.25"/>
    <row r="1501" customFormat="1" ht="12.5" customHeight="1" x14ac:dyDescent="0.25"/>
    <row r="1502" customFormat="1" ht="12.5" customHeight="1" x14ac:dyDescent="0.25"/>
    <row r="1503" customFormat="1" ht="12.5" customHeight="1" x14ac:dyDescent="0.25"/>
    <row r="1504" customFormat="1" ht="12.5" customHeight="1" x14ac:dyDescent="0.25"/>
    <row r="1505" customFormat="1" ht="12.5" customHeight="1" x14ac:dyDescent="0.25"/>
    <row r="1506" customFormat="1" ht="12.5" customHeight="1" x14ac:dyDescent="0.25"/>
    <row r="1507" customFormat="1" ht="12.5" customHeight="1" x14ac:dyDescent="0.25"/>
    <row r="1508" customFormat="1" ht="12.5" customHeight="1" x14ac:dyDescent="0.25"/>
    <row r="1509" customFormat="1" ht="12.5" customHeight="1" x14ac:dyDescent="0.25"/>
    <row r="1510" customFormat="1" ht="12.5" customHeight="1" x14ac:dyDescent="0.25"/>
    <row r="1511" customFormat="1" ht="12.5" customHeight="1" x14ac:dyDescent="0.25"/>
    <row r="1512" customFormat="1" ht="12.5" customHeight="1" x14ac:dyDescent="0.25"/>
    <row r="1513" customFormat="1" ht="12.5" customHeight="1" x14ac:dyDescent="0.25"/>
    <row r="1514" customFormat="1" ht="12.5" customHeight="1" x14ac:dyDescent="0.25"/>
    <row r="1515" customFormat="1" ht="12.5" customHeight="1" x14ac:dyDescent="0.25"/>
    <row r="1516" customFormat="1" ht="12.5" customHeight="1" x14ac:dyDescent="0.25"/>
    <row r="1517" customFormat="1" ht="12.5" customHeight="1" x14ac:dyDescent="0.25"/>
    <row r="1518" customFormat="1" ht="12.5" customHeight="1" x14ac:dyDescent="0.25"/>
    <row r="1519" customFormat="1" ht="12.5" customHeight="1" x14ac:dyDescent="0.25"/>
    <row r="1520" customFormat="1" ht="12.5" customHeight="1" x14ac:dyDescent="0.25"/>
    <row r="1521" customFormat="1" ht="12.5" customHeight="1" x14ac:dyDescent="0.25"/>
    <row r="1522" customFormat="1" ht="12.5" customHeight="1" x14ac:dyDescent="0.25"/>
    <row r="1523" customFormat="1" ht="12.5" customHeight="1" x14ac:dyDescent="0.25"/>
    <row r="1524" customFormat="1" ht="12.5" customHeight="1" x14ac:dyDescent="0.25"/>
    <row r="1525" customFormat="1" ht="12.5" customHeight="1" x14ac:dyDescent="0.25"/>
    <row r="1526" customFormat="1" ht="12.5" customHeight="1" x14ac:dyDescent="0.25"/>
    <row r="1527" customFormat="1" ht="12.5" customHeight="1" x14ac:dyDescent="0.25"/>
    <row r="1528" customFormat="1" ht="12.5" customHeight="1" x14ac:dyDescent="0.25"/>
    <row r="1529" customFormat="1" ht="12.5" customHeight="1" x14ac:dyDescent="0.25"/>
    <row r="1530" customFormat="1" ht="12.5" customHeight="1" x14ac:dyDescent="0.25"/>
    <row r="1531" customFormat="1" ht="12.5" customHeight="1" x14ac:dyDescent="0.25"/>
    <row r="1532" customFormat="1" ht="12.5" customHeight="1" x14ac:dyDescent="0.25"/>
    <row r="1533" customFormat="1" ht="12.5" customHeight="1" x14ac:dyDescent="0.25"/>
    <row r="1534" customFormat="1" ht="12.5" customHeight="1" x14ac:dyDescent="0.25"/>
    <row r="1535" customFormat="1" ht="12.5" customHeight="1" x14ac:dyDescent="0.25"/>
    <row r="1536" customFormat="1" ht="12.5" customHeight="1" x14ac:dyDescent="0.25"/>
    <row r="1537" customFormat="1" ht="12.5" customHeight="1" x14ac:dyDescent="0.25"/>
    <row r="1538" customFormat="1" ht="12.5" customHeight="1" x14ac:dyDescent="0.25"/>
    <row r="1539" customFormat="1" ht="12.5" customHeight="1" x14ac:dyDescent="0.25"/>
    <row r="1540" customFormat="1" ht="12.5" customHeight="1" x14ac:dyDescent="0.25"/>
    <row r="1541" customFormat="1" ht="12.5" customHeight="1" x14ac:dyDescent="0.25"/>
    <row r="1542" customFormat="1" ht="12.5" customHeight="1" x14ac:dyDescent="0.25"/>
    <row r="1543" customFormat="1" ht="12.5" customHeight="1" x14ac:dyDescent="0.25"/>
    <row r="1544" customFormat="1" ht="12.5" customHeight="1" x14ac:dyDescent="0.25"/>
    <row r="1545" customFormat="1" ht="12.5" customHeight="1" x14ac:dyDescent="0.25"/>
    <row r="1546" customFormat="1" ht="12.5" customHeight="1" x14ac:dyDescent="0.25"/>
    <row r="1547" customFormat="1" ht="12.5" customHeight="1" x14ac:dyDescent="0.25"/>
    <row r="1548" customFormat="1" ht="12.5" customHeight="1" x14ac:dyDescent="0.25"/>
    <row r="1549" customFormat="1" ht="12.5" customHeight="1" x14ac:dyDescent="0.25"/>
    <row r="1550" customFormat="1" ht="12.5" customHeight="1" x14ac:dyDescent="0.25"/>
    <row r="1551" customFormat="1" ht="12.5" customHeight="1" x14ac:dyDescent="0.25"/>
    <row r="1552" customFormat="1" ht="12.5" customHeight="1" x14ac:dyDescent="0.25"/>
    <row r="1553" customFormat="1" ht="12.5" customHeight="1" x14ac:dyDescent="0.25"/>
    <row r="1554" customFormat="1" ht="12.5" customHeight="1" x14ac:dyDescent="0.25"/>
    <row r="1555" customFormat="1" ht="12.5" customHeight="1" x14ac:dyDescent="0.25"/>
    <row r="1556" customFormat="1" ht="12.5" customHeight="1" x14ac:dyDescent="0.25"/>
    <row r="1557" customFormat="1" ht="12.5" customHeight="1" x14ac:dyDescent="0.25"/>
    <row r="1558" customFormat="1" ht="12.5" customHeight="1" x14ac:dyDescent="0.25"/>
    <row r="1559" customFormat="1" ht="12.5" customHeight="1" x14ac:dyDescent="0.25"/>
    <row r="1560" customFormat="1" ht="12.5" customHeight="1" x14ac:dyDescent="0.25"/>
    <row r="1561" customFormat="1" ht="12.5" customHeight="1" x14ac:dyDescent="0.25"/>
    <row r="1562" customFormat="1" ht="12.5" customHeight="1" x14ac:dyDescent="0.25"/>
    <row r="1563" customFormat="1" ht="12.5" customHeight="1" x14ac:dyDescent="0.25"/>
    <row r="1564" customFormat="1" ht="12.5" customHeight="1" x14ac:dyDescent="0.25"/>
    <row r="1565" customFormat="1" ht="12.5" customHeight="1" x14ac:dyDescent="0.25"/>
    <row r="1566" customFormat="1" ht="12.5" customHeight="1" x14ac:dyDescent="0.25"/>
    <row r="1567" customFormat="1" ht="12.5" customHeight="1" x14ac:dyDescent="0.25"/>
    <row r="1568" customFormat="1" ht="12.5" customHeight="1" x14ac:dyDescent="0.25"/>
    <row r="1569" customFormat="1" ht="12.5" customHeight="1" x14ac:dyDescent="0.25"/>
    <row r="1570" customFormat="1" ht="12.5" customHeight="1" x14ac:dyDescent="0.25"/>
    <row r="1571" customFormat="1" ht="12.5" customHeight="1" x14ac:dyDescent="0.25"/>
    <row r="1572" customFormat="1" ht="12.5" customHeight="1" x14ac:dyDescent="0.25"/>
    <row r="1573" customFormat="1" ht="12.5" customHeight="1" x14ac:dyDescent="0.25"/>
    <row r="1574" customFormat="1" ht="12.5" customHeight="1" x14ac:dyDescent="0.25"/>
    <row r="1575" customFormat="1" ht="12.5" customHeight="1" x14ac:dyDescent="0.25"/>
    <row r="1576" customFormat="1" ht="12.5" customHeight="1" x14ac:dyDescent="0.25"/>
    <row r="1577" customFormat="1" ht="12.5" customHeight="1" x14ac:dyDescent="0.25"/>
    <row r="1578" customFormat="1" ht="12.5" customHeight="1" x14ac:dyDescent="0.25"/>
    <row r="1579" customFormat="1" ht="12.5" customHeight="1" x14ac:dyDescent="0.25"/>
    <row r="1580" customFormat="1" ht="12.5" customHeight="1" x14ac:dyDescent="0.25"/>
    <row r="1581" customFormat="1" ht="12.5" customHeight="1" x14ac:dyDescent="0.25"/>
    <row r="1582" customFormat="1" ht="12.5" customHeight="1" x14ac:dyDescent="0.25"/>
    <row r="1583" customFormat="1" ht="12.5" customHeight="1" x14ac:dyDescent="0.25"/>
    <row r="1584" customFormat="1" ht="12.5" customHeight="1" x14ac:dyDescent="0.25"/>
    <row r="1585" customFormat="1" ht="12.5" customHeight="1" x14ac:dyDescent="0.25"/>
    <row r="1586" customFormat="1" ht="12.5" customHeight="1" x14ac:dyDescent="0.25"/>
    <row r="1587" customFormat="1" ht="12.5" customHeight="1" x14ac:dyDescent="0.25"/>
    <row r="1588" customFormat="1" ht="12.5" customHeight="1" x14ac:dyDescent="0.25"/>
    <row r="1589" customFormat="1" ht="12.5" customHeight="1" x14ac:dyDescent="0.25"/>
    <row r="1590" customFormat="1" ht="12.5" customHeight="1" x14ac:dyDescent="0.25"/>
    <row r="1591" customFormat="1" ht="12.5" customHeight="1" x14ac:dyDescent="0.25"/>
    <row r="1592" customFormat="1" ht="12.5" customHeight="1" x14ac:dyDescent="0.25"/>
    <row r="1593" customFormat="1" ht="12.5" customHeight="1" x14ac:dyDescent="0.25"/>
    <row r="1594" customFormat="1" ht="12.5" customHeight="1" x14ac:dyDescent="0.25"/>
    <row r="1595" customFormat="1" ht="12.5" customHeight="1" x14ac:dyDescent="0.25"/>
    <row r="1596" customFormat="1" ht="12.5" customHeight="1" x14ac:dyDescent="0.25"/>
    <row r="1597" customFormat="1" ht="12.5" customHeight="1" x14ac:dyDescent="0.25"/>
    <row r="1598" customFormat="1" ht="12.5" customHeight="1" x14ac:dyDescent="0.25"/>
    <row r="1599" customFormat="1" ht="12.5" customHeight="1" x14ac:dyDescent="0.25"/>
    <row r="1600" customFormat="1" ht="12.5" customHeight="1" x14ac:dyDescent="0.25"/>
    <row r="1601" customFormat="1" ht="12.5" customHeight="1" x14ac:dyDescent="0.25"/>
    <row r="1602" customFormat="1" ht="12.5" customHeight="1" x14ac:dyDescent="0.25"/>
    <row r="1603" customFormat="1" ht="12.5" customHeight="1" x14ac:dyDescent="0.25"/>
    <row r="1604" customFormat="1" ht="12.5" customHeight="1" x14ac:dyDescent="0.25"/>
    <row r="1605" customFormat="1" ht="12.5" customHeight="1" x14ac:dyDescent="0.25"/>
    <row r="1606" customFormat="1" ht="12.5" customHeight="1" x14ac:dyDescent="0.25"/>
    <row r="1607" customFormat="1" ht="12.5" customHeight="1" x14ac:dyDescent="0.25"/>
    <row r="1608" customFormat="1" ht="12.5" customHeight="1" x14ac:dyDescent="0.25"/>
    <row r="1609" customFormat="1" ht="12.5" customHeight="1" x14ac:dyDescent="0.25"/>
    <row r="1610" customFormat="1" ht="12.5" customHeight="1" x14ac:dyDescent="0.25"/>
    <row r="1611" customFormat="1" ht="12.5" customHeight="1" x14ac:dyDescent="0.25"/>
    <row r="1612" customFormat="1" ht="12.5" customHeight="1" x14ac:dyDescent="0.25"/>
    <row r="1613" customFormat="1" ht="12.5" customHeight="1" x14ac:dyDescent="0.25"/>
    <row r="1614" customFormat="1" ht="12.5" customHeight="1" x14ac:dyDescent="0.25"/>
    <row r="1615" customFormat="1" ht="12.5" customHeight="1" x14ac:dyDescent="0.25"/>
    <row r="1616" customFormat="1" ht="12.5" customHeight="1" x14ac:dyDescent="0.25"/>
    <row r="1617" customFormat="1" ht="12.5" customHeight="1" x14ac:dyDescent="0.25"/>
    <row r="1618" customFormat="1" ht="12.5" customHeight="1" x14ac:dyDescent="0.25"/>
    <row r="1619" customFormat="1" ht="12.5" customHeight="1" x14ac:dyDescent="0.25"/>
    <row r="1620" customFormat="1" ht="12.5" customHeight="1" x14ac:dyDescent="0.25"/>
    <row r="1621" customFormat="1" ht="12.5" customHeight="1" x14ac:dyDescent="0.25"/>
    <row r="1622" customFormat="1" ht="12.5" customHeight="1" x14ac:dyDescent="0.25"/>
    <row r="1623" customFormat="1" ht="12.5" customHeight="1" x14ac:dyDescent="0.25"/>
    <row r="1624" customFormat="1" ht="12.5" customHeight="1" x14ac:dyDescent="0.25"/>
    <row r="1625" customFormat="1" ht="12.5" customHeight="1" x14ac:dyDescent="0.25"/>
    <row r="1626" customFormat="1" ht="12.5" customHeight="1" x14ac:dyDescent="0.25"/>
    <row r="1627" customFormat="1" ht="12.5" customHeight="1" x14ac:dyDescent="0.25"/>
    <row r="1628" customFormat="1" ht="12.5" customHeight="1" x14ac:dyDescent="0.25"/>
    <row r="1629" customFormat="1" ht="12.5" customHeight="1" x14ac:dyDescent="0.25"/>
    <row r="1630" customFormat="1" ht="12.5" customHeight="1" x14ac:dyDescent="0.25"/>
    <row r="1631" customFormat="1" ht="12.5" customHeight="1" x14ac:dyDescent="0.25"/>
    <row r="1632" customFormat="1" ht="12.5" customHeight="1" x14ac:dyDescent="0.25"/>
    <row r="1633" customFormat="1" ht="12.5" customHeight="1" x14ac:dyDescent="0.25"/>
    <row r="1634" customFormat="1" ht="12.5" customHeight="1" x14ac:dyDescent="0.25"/>
    <row r="1635" customFormat="1" ht="12.5" customHeight="1" x14ac:dyDescent="0.25"/>
    <row r="1636" customFormat="1" ht="12.5" customHeight="1" x14ac:dyDescent="0.25"/>
    <row r="1637" customFormat="1" ht="12.5" customHeight="1" x14ac:dyDescent="0.25"/>
    <row r="1638" customFormat="1" ht="12.5" customHeight="1" x14ac:dyDescent="0.25"/>
    <row r="1639" customFormat="1" ht="12.5" customHeight="1" x14ac:dyDescent="0.25"/>
    <row r="1640" customFormat="1" ht="12.5" customHeight="1" x14ac:dyDescent="0.25"/>
    <row r="1641" customFormat="1" ht="12.5" customHeight="1" x14ac:dyDescent="0.25"/>
    <row r="1642" customFormat="1" ht="12.5" customHeight="1" x14ac:dyDescent="0.25"/>
    <row r="1643" customFormat="1" ht="12.5" customHeight="1" x14ac:dyDescent="0.25"/>
    <row r="1644" customFormat="1" ht="12.5" customHeight="1" x14ac:dyDescent="0.25"/>
    <row r="1645" customFormat="1" ht="12.5" customHeight="1" x14ac:dyDescent="0.25"/>
    <row r="1646" customFormat="1" ht="12.5" customHeight="1" x14ac:dyDescent="0.25"/>
    <row r="1647" customFormat="1" ht="12.5" customHeight="1" x14ac:dyDescent="0.25"/>
    <row r="1648" customFormat="1" ht="12.5" customHeight="1" x14ac:dyDescent="0.25"/>
    <row r="1649" customFormat="1" ht="12.5" customHeight="1" x14ac:dyDescent="0.25"/>
    <row r="1650" customFormat="1" ht="12.5" customHeight="1" x14ac:dyDescent="0.25"/>
    <row r="1651" customFormat="1" ht="12.5" customHeight="1" x14ac:dyDescent="0.25"/>
    <row r="1652" customFormat="1" ht="12.5" customHeight="1" x14ac:dyDescent="0.25"/>
    <row r="1653" customFormat="1" ht="12.5" customHeight="1" x14ac:dyDescent="0.25"/>
    <row r="1654" customFormat="1" ht="12.5" customHeight="1" x14ac:dyDescent="0.25"/>
    <row r="1655" customFormat="1" ht="12.5" customHeight="1" x14ac:dyDescent="0.25"/>
    <row r="1656" customFormat="1" ht="12.5" customHeight="1" x14ac:dyDescent="0.25"/>
    <row r="1657" customFormat="1" ht="12.5" customHeight="1" x14ac:dyDescent="0.25"/>
    <row r="1658" customFormat="1" ht="12.5" customHeight="1" x14ac:dyDescent="0.25"/>
    <row r="1659" customFormat="1" ht="12.5" customHeight="1" x14ac:dyDescent="0.25"/>
    <row r="1660" customFormat="1" ht="12.5" customHeight="1" x14ac:dyDescent="0.25"/>
    <row r="1661" customFormat="1" ht="12.5" customHeight="1" x14ac:dyDescent="0.25"/>
    <row r="1662" customFormat="1" ht="12.5" customHeight="1" x14ac:dyDescent="0.25"/>
    <row r="1663" customFormat="1" ht="12.5" customHeight="1" x14ac:dyDescent="0.25"/>
    <row r="1664" customFormat="1" ht="12.5" customHeight="1" x14ac:dyDescent="0.25"/>
    <row r="1665" customFormat="1" ht="12.5" customHeight="1" x14ac:dyDescent="0.25"/>
    <row r="1666" customFormat="1" ht="12.5" customHeight="1" x14ac:dyDescent="0.25"/>
    <row r="1667" customFormat="1" ht="12.5" customHeight="1" x14ac:dyDescent="0.25"/>
    <row r="1668" customFormat="1" ht="12.5" customHeight="1" x14ac:dyDescent="0.25"/>
    <row r="1669" customFormat="1" ht="12.5" customHeight="1" x14ac:dyDescent="0.25"/>
    <row r="1670" customFormat="1" ht="12.5" customHeight="1" x14ac:dyDescent="0.25"/>
    <row r="1671" customFormat="1" ht="12.5" customHeight="1" x14ac:dyDescent="0.25"/>
    <row r="1672" customFormat="1" ht="12.5" customHeight="1" x14ac:dyDescent="0.25"/>
    <row r="1673" customFormat="1" ht="12.5" customHeight="1" x14ac:dyDescent="0.25"/>
    <row r="1674" customFormat="1" ht="12.5" customHeight="1" x14ac:dyDescent="0.25"/>
    <row r="1675" customFormat="1" ht="12.5" customHeight="1" x14ac:dyDescent="0.25"/>
    <row r="1676" customFormat="1" ht="12.5" customHeight="1" x14ac:dyDescent="0.25"/>
    <row r="1677" customFormat="1" ht="12.5" customHeight="1" x14ac:dyDescent="0.25"/>
    <row r="1678" customFormat="1" ht="12.5" customHeight="1" x14ac:dyDescent="0.25"/>
    <row r="1679" customFormat="1" ht="12.5" customHeight="1" x14ac:dyDescent="0.25"/>
    <row r="1680" customFormat="1" ht="12.5" customHeight="1" x14ac:dyDescent="0.25"/>
    <row r="1681" customFormat="1" ht="12.5" customHeight="1" x14ac:dyDescent="0.25"/>
    <row r="1682" customFormat="1" ht="12.5" customHeight="1" x14ac:dyDescent="0.25"/>
    <row r="1683" customFormat="1" ht="12.5" customHeight="1" x14ac:dyDescent="0.25"/>
    <row r="1684" customFormat="1" ht="12.5" customHeight="1" x14ac:dyDescent="0.25"/>
    <row r="1685" customFormat="1" ht="12.5" customHeight="1" x14ac:dyDescent="0.25"/>
    <row r="1686" customFormat="1" ht="12.5" customHeight="1" x14ac:dyDescent="0.25"/>
    <row r="1687" customFormat="1" ht="12.5" customHeight="1" x14ac:dyDescent="0.25"/>
    <row r="1688" customFormat="1" ht="12.5" customHeight="1" x14ac:dyDescent="0.25"/>
    <row r="1689" customFormat="1" ht="12.5" customHeight="1" x14ac:dyDescent="0.25"/>
    <row r="1690" customFormat="1" ht="12.5" customHeight="1" x14ac:dyDescent="0.25"/>
    <row r="1691" customFormat="1" ht="12.5" customHeight="1" x14ac:dyDescent="0.25"/>
    <row r="1692" customFormat="1" ht="12.5" customHeight="1" x14ac:dyDescent="0.25"/>
    <row r="1693" customFormat="1" ht="12.5" customHeight="1" x14ac:dyDescent="0.25"/>
    <row r="1694" customFormat="1" ht="12.5" customHeight="1" x14ac:dyDescent="0.25"/>
    <row r="1695" customFormat="1" ht="12.5" customHeight="1" x14ac:dyDescent="0.25"/>
    <row r="1696" customFormat="1" ht="12.5" customHeight="1" x14ac:dyDescent="0.25"/>
    <row r="1697" customFormat="1" ht="12.5" customHeight="1" x14ac:dyDescent="0.25"/>
    <row r="1698" customFormat="1" ht="12.5" customHeight="1" x14ac:dyDescent="0.25"/>
    <row r="1699" customFormat="1" ht="12.5" customHeight="1" x14ac:dyDescent="0.25"/>
    <row r="1700" customFormat="1" ht="12.5" customHeight="1" x14ac:dyDescent="0.25"/>
    <row r="1701" customFormat="1" ht="12.5" customHeight="1" x14ac:dyDescent="0.25"/>
    <row r="1702" customFormat="1" ht="12.5" customHeight="1" x14ac:dyDescent="0.25"/>
    <row r="1703" customFormat="1" ht="12.5" customHeight="1" x14ac:dyDescent="0.25"/>
    <row r="1704" customFormat="1" ht="12.5" customHeight="1" x14ac:dyDescent="0.25"/>
    <row r="1705" customFormat="1" ht="12.5" customHeight="1" x14ac:dyDescent="0.25"/>
    <row r="1706" customFormat="1" ht="12.5" customHeight="1" x14ac:dyDescent="0.25"/>
    <row r="1707" customFormat="1" ht="12.5" customHeight="1" x14ac:dyDescent="0.25"/>
    <row r="1708" customFormat="1" ht="12.5" customHeight="1" x14ac:dyDescent="0.25"/>
    <row r="1709" customFormat="1" ht="12.5" customHeight="1" x14ac:dyDescent="0.25"/>
    <row r="1710" customFormat="1" ht="12.5" customHeight="1" x14ac:dyDescent="0.25"/>
    <row r="1711" customFormat="1" ht="12.5" customHeight="1" x14ac:dyDescent="0.25"/>
    <row r="1712" customFormat="1" ht="12.5" customHeight="1" x14ac:dyDescent="0.25"/>
    <row r="1713" customFormat="1" ht="12.5" customHeight="1" x14ac:dyDescent="0.25"/>
    <row r="1714" customFormat="1" ht="12.5" customHeight="1" x14ac:dyDescent="0.25"/>
    <row r="1715" customFormat="1" ht="12.5" customHeight="1" x14ac:dyDescent="0.25"/>
    <row r="1716" customFormat="1" ht="12.5" customHeight="1" x14ac:dyDescent="0.25"/>
    <row r="1717" customFormat="1" ht="12.5" customHeight="1" x14ac:dyDescent="0.25"/>
    <row r="1718" customFormat="1" ht="12.5" customHeight="1" x14ac:dyDescent="0.25"/>
    <row r="1719" customFormat="1" ht="12.5" customHeight="1" x14ac:dyDescent="0.25"/>
    <row r="1720" customFormat="1" ht="12.5" customHeight="1" x14ac:dyDescent="0.25"/>
    <row r="1721" customFormat="1" ht="12.5" customHeight="1" x14ac:dyDescent="0.25"/>
    <row r="1722" customFormat="1" ht="12.5" customHeight="1" x14ac:dyDescent="0.25"/>
    <row r="1723" customFormat="1" ht="12.5" customHeight="1" x14ac:dyDescent="0.25"/>
    <row r="1724" customFormat="1" ht="12.5" customHeight="1" x14ac:dyDescent="0.25"/>
    <row r="1725" customFormat="1" ht="12.5" customHeight="1" x14ac:dyDescent="0.25"/>
    <row r="1726" customFormat="1" ht="12.5" customHeight="1" x14ac:dyDescent="0.25"/>
    <row r="1727" customFormat="1" ht="12.5" customHeight="1" x14ac:dyDescent="0.25"/>
    <row r="1728" customFormat="1" ht="12.5" customHeight="1" x14ac:dyDescent="0.25"/>
    <row r="1729" customFormat="1" ht="12.5" customHeight="1" x14ac:dyDescent="0.25"/>
    <row r="1730" customFormat="1" ht="12.5" customHeight="1" x14ac:dyDescent="0.25"/>
    <row r="1731" customFormat="1" ht="12.5" customHeight="1" x14ac:dyDescent="0.25"/>
    <row r="1732" customFormat="1" ht="12.5" customHeight="1" x14ac:dyDescent="0.25"/>
    <row r="1733" customFormat="1" ht="12.5" customHeight="1" x14ac:dyDescent="0.25"/>
    <row r="1734" customFormat="1" ht="12.5" customHeight="1" x14ac:dyDescent="0.25"/>
    <row r="1735" customFormat="1" ht="12.5" customHeight="1" x14ac:dyDescent="0.25"/>
    <row r="1736" customFormat="1" ht="12.5" customHeight="1" x14ac:dyDescent="0.25"/>
    <row r="1737" customFormat="1" ht="12.5" customHeight="1" x14ac:dyDescent="0.25"/>
    <row r="1738" customFormat="1" ht="12.5" customHeight="1" x14ac:dyDescent="0.25"/>
    <row r="1739" customFormat="1" ht="12.5" customHeight="1" x14ac:dyDescent="0.25"/>
    <row r="1740" customFormat="1" ht="12.5" customHeight="1" x14ac:dyDescent="0.25"/>
    <row r="1741" customFormat="1" ht="12.5" customHeight="1" x14ac:dyDescent="0.25"/>
    <row r="1742" customFormat="1" ht="12.5" customHeight="1" x14ac:dyDescent="0.25"/>
    <row r="1743" customFormat="1" ht="12.5" customHeight="1" x14ac:dyDescent="0.25"/>
    <row r="1744" customFormat="1" ht="12.5" customHeight="1" x14ac:dyDescent="0.25"/>
    <row r="1745" customFormat="1" ht="12.5" customHeight="1" x14ac:dyDescent="0.25"/>
    <row r="1746" customFormat="1" ht="12.5" customHeight="1" x14ac:dyDescent="0.25"/>
    <row r="1747" customFormat="1" ht="12.5" customHeight="1" x14ac:dyDescent="0.25"/>
    <row r="1748" customFormat="1" ht="12.5" customHeight="1" x14ac:dyDescent="0.25"/>
    <row r="1749" customFormat="1" ht="12.5" customHeight="1" x14ac:dyDescent="0.25"/>
    <row r="1750" customFormat="1" ht="12.5" customHeight="1" x14ac:dyDescent="0.25"/>
    <row r="1751" customFormat="1" ht="12.5" customHeight="1" x14ac:dyDescent="0.25"/>
    <row r="1752" customFormat="1" ht="12.5" customHeight="1" x14ac:dyDescent="0.25"/>
    <row r="1753" customFormat="1" ht="12.5" customHeight="1" x14ac:dyDescent="0.25"/>
    <row r="1754" customFormat="1" ht="12.5" customHeight="1" x14ac:dyDescent="0.25"/>
    <row r="1755" customFormat="1" ht="12.5" customHeight="1" x14ac:dyDescent="0.25"/>
    <row r="1756" customFormat="1" ht="12.5" customHeight="1" x14ac:dyDescent="0.25"/>
    <row r="1757" customFormat="1" ht="12.5" customHeight="1" x14ac:dyDescent="0.25"/>
    <row r="1758" customFormat="1" ht="12.5" customHeight="1" x14ac:dyDescent="0.25"/>
    <row r="1759" customFormat="1" ht="12.5" customHeight="1" x14ac:dyDescent="0.25"/>
    <row r="1760" customFormat="1" ht="12.5" customHeight="1" x14ac:dyDescent="0.25"/>
    <row r="1761" customFormat="1" ht="12.5" customHeight="1" x14ac:dyDescent="0.25"/>
    <row r="1762" customFormat="1" ht="12.5" customHeight="1" x14ac:dyDescent="0.25"/>
    <row r="1763" customFormat="1" ht="12.5" customHeight="1" x14ac:dyDescent="0.25"/>
    <row r="1764" customFormat="1" ht="12.5" customHeight="1" x14ac:dyDescent="0.25"/>
    <row r="1765" customFormat="1" ht="12.5" customHeight="1" x14ac:dyDescent="0.25"/>
    <row r="1766" customFormat="1" ht="12.5" customHeight="1" x14ac:dyDescent="0.25"/>
    <row r="1767" customFormat="1" ht="12.5" customHeight="1" x14ac:dyDescent="0.25"/>
    <row r="1768" customFormat="1" ht="12.5" customHeight="1" x14ac:dyDescent="0.25"/>
    <row r="1769" customFormat="1" ht="12.5" customHeight="1" x14ac:dyDescent="0.25"/>
    <row r="1770" customFormat="1" ht="12.5" customHeight="1" x14ac:dyDescent="0.25"/>
    <row r="1771" customFormat="1" ht="12.5" customHeight="1" x14ac:dyDescent="0.25"/>
    <row r="1772" customFormat="1" ht="12.5" customHeight="1" x14ac:dyDescent="0.25"/>
    <row r="1773" customFormat="1" ht="12.5" customHeight="1" x14ac:dyDescent="0.25"/>
    <row r="1774" customFormat="1" ht="12.5" customHeight="1" x14ac:dyDescent="0.25"/>
    <row r="1775" customFormat="1" ht="12.5" customHeight="1" x14ac:dyDescent="0.25"/>
    <row r="1776" customFormat="1" ht="12.5" customHeight="1" x14ac:dyDescent="0.25"/>
    <row r="1777" customFormat="1" ht="12.5" customHeight="1" x14ac:dyDescent="0.25"/>
    <row r="1778" customFormat="1" ht="12.5" customHeight="1" x14ac:dyDescent="0.25"/>
    <row r="1779" customFormat="1" ht="12.5" customHeight="1" x14ac:dyDescent="0.25"/>
    <row r="1780" customFormat="1" ht="12.5" customHeight="1" x14ac:dyDescent="0.25"/>
    <row r="1781" customFormat="1" ht="12.5" customHeight="1" x14ac:dyDescent="0.25"/>
    <row r="1782" customFormat="1" ht="12.5" customHeight="1" x14ac:dyDescent="0.25"/>
    <row r="1783" customFormat="1" ht="12.5" customHeight="1" x14ac:dyDescent="0.25"/>
    <row r="1784" customFormat="1" ht="12.5" customHeight="1" x14ac:dyDescent="0.25"/>
    <row r="1785" customFormat="1" ht="12.5" customHeight="1" x14ac:dyDescent="0.25"/>
    <row r="1786" customFormat="1" ht="12.5" customHeight="1" x14ac:dyDescent="0.25"/>
    <row r="1787" customFormat="1" ht="12.5" customHeight="1" x14ac:dyDescent="0.25"/>
    <row r="1788" customFormat="1" ht="12.5" customHeight="1" x14ac:dyDescent="0.25"/>
    <row r="1789" customFormat="1" ht="12.5" customHeight="1" x14ac:dyDescent="0.25"/>
    <row r="1790" customFormat="1" ht="12.5" customHeight="1" x14ac:dyDescent="0.25"/>
    <row r="1791" customFormat="1" ht="12.5" customHeight="1" x14ac:dyDescent="0.25"/>
    <row r="1792" customFormat="1" ht="12.5" customHeight="1" x14ac:dyDescent="0.25"/>
    <row r="1793" customFormat="1" ht="12.5" customHeight="1" x14ac:dyDescent="0.25"/>
    <row r="1794" customFormat="1" ht="12.5" customHeight="1" x14ac:dyDescent="0.25"/>
    <row r="1795" customFormat="1" ht="12.5" customHeight="1" x14ac:dyDescent="0.25"/>
    <row r="1796" customFormat="1" ht="12.5" customHeight="1" x14ac:dyDescent="0.25"/>
    <row r="1797" customFormat="1" ht="12.5" customHeight="1" x14ac:dyDescent="0.25"/>
    <row r="1798" customFormat="1" ht="12.5" customHeight="1" x14ac:dyDescent="0.25"/>
    <row r="1799" customFormat="1" ht="12.5" customHeight="1" x14ac:dyDescent="0.25"/>
    <row r="1800" customFormat="1" ht="12.5" customHeight="1" x14ac:dyDescent="0.25"/>
    <row r="1801" customFormat="1" ht="12.5" customHeight="1" x14ac:dyDescent="0.25"/>
    <row r="1802" customFormat="1" ht="12.5" customHeight="1" x14ac:dyDescent="0.25"/>
    <row r="1803" customFormat="1" ht="12.5" customHeight="1" x14ac:dyDescent="0.25"/>
    <row r="1804" customFormat="1" ht="12.5" customHeight="1" x14ac:dyDescent="0.25"/>
    <row r="1805" customFormat="1" ht="12.5" customHeight="1" x14ac:dyDescent="0.25"/>
    <row r="1806" customFormat="1" ht="12.5" customHeight="1" x14ac:dyDescent="0.25"/>
    <row r="1807" customFormat="1" ht="12.5" customHeight="1" x14ac:dyDescent="0.25"/>
    <row r="1808" customFormat="1" ht="12.5" customHeight="1" x14ac:dyDescent="0.25"/>
    <row r="1809" customFormat="1" ht="12.5" customHeight="1" x14ac:dyDescent="0.25"/>
    <row r="1810" customFormat="1" ht="12.5" customHeight="1" x14ac:dyDescent="0.25"/>
    <row r="1811" customFormat="1" ht="12.5" customHeight="1" x14ac:dyDescent="0.25"/>
    <row r="1812" customFormat="1" ht="12.5" customHeight="1" x14ac:dyDescent="0.25"/>
    <row r="1813" customFormat="1" ht="12.5" customHeight="1" x14ac:dyDescent="0.25"/>
    <row r="1814" customFormat="1" ht="12.5" customHeight="1" x14ac:dyDescent="0.25"/>
    <row r="1815" customFormat="1" ht="12.5" customHeight="1" x14ac:dyDescent="0.25"/>
    <row r="1816" customFormat="1" ht="12.5" customHeight="1" x14ac:dyDescent="0.25"/>
    <row r="1817" customFormat="1" ht="12.5" customHeight="1" x14ac:dyDescent="0.25"/>
    <row r="1818" customFormat="1" ht="12.5" customHeight="1" x14ac:dyDescent="0.25"/>
    <row r="1819" customFormat="1" ht="12.5" customHeight="1" x14ac:dyDescent="0.25"/>
    <row r="1820" customFormat="1" ht="12.5" customHeight="1" x14ac:dyDescent="0.25"/>
    <row r="1821" customFormat="1" ht="12.5" customHeight="1" x14ac:dyDescent="0.25"/>
    <row r="1822" customFormat="1" ht="12.5" customHeight="1" x14ac:dyDescent="0.25"/>
    <row r="1823" customFormat="1" ht="12.5" customHeight="1" x14ac:dyDescent="0.25"/>
    <row r="1824" customFormat="1" ht="12.5" customHeight="1" x14ac:dyDescent="0.25"/>
    <row r="1825" customFormat="1" ht="12.5" customHeight="1" x14ac:dyDescent="0.25"/>
    <row r="1826" customFormat="1" ht="12.5" customHeight="1" x14ac:dyDescent="0.25"/>
    <row r="1827" customFormat="1" ht="12.5" customHeight="1" x14ac:dyDescent="0.25"/>
    <row r="1828" customFormat="1" ht="12.5" customHeight="1" x14ac:dyDescent="0.25"/>
    <row r="1829" customFormat="1" ht="12.5" customHeight="1" x14ac:dyDescent="0.25"/>
    <row r="1830" customFormat="1" ht="12.5" customHeight="1" x14ac:dyDescent="0.25"/>
    <row r="1831" customFormat="1" ht="12.5" customHeight="1" x14ac:dyDescent="0.25"/>
    <row r="1832" customFormat="1" ht="12.5" customHeight="1" x14ac:dyDescent="0.25"/>
    <row r="1833" customFormat="1" ht="12.5" customHeight="1" x14ac:dyDescent="0.25"/>
    <row r="1834" customFormat="1" ht="12.5" customHeight="1" x14ac:dyDescent="0.25"/>
    <row r="1835" customFormat="1" ht="12.5" customHeight="1" x14ac:dyDescent="0.25"/>
    <row r="1836" customFormat="1" ht="12.5" customHeight="1" x14ac:dyDescent="0.25"/>
    <row r="1837" customFormat="1" ht="12.5" customHeight="1" x14ac:dyDescent="0.25"/>
    <row r="1838" customFormat="1" ht="12.5" customHeight="1" x14ac:dyDescent="0.25"/>
    <row r="1839" customFormat="1" ht="12.5" customHeight="1" x14ac:dyDescent="0.25"/>
    <row r="1840" customFormat="1" ht="12.5" customHeight="1" x14ac:dyDescent="0.25"/>
    <row r="1841" customFormat="1" ht="12.5" customHeight="1" x14ac:dyDescent="0.25"/>
    <row r="1842" customFormat="1" ht="12.5" customHeight="1" x14ac:dyDescent="0.25"/>
    <row r="1843" customFormat="1" ht="12.5" customHeight="1" x14ac:dyDescent="0.25"/>
    <row r="1844" customFormat="1" ht="12.5" customHeight="1" x14ac:dyDescent="0.25"/>
    <row r="1845" customFormat="1" ht="12.5" customHeight="1" x14ac:dyDescent="0.25"/>
    <row r="1846" customFormat="1" ht="12.5" customHeight="1" x14ac:dyDescent="0.25"/>
    <row r="1847" customFormat="1" ht="12.5" customHeight="1" x14ac:dyDescent="0.25"/>
    <row r="1848" customFormat="1" ht="12.5" customHeight="1" x14ac:dyDescent="0.25"/>
    <row r="1849" customFormat="1" ht="12.5" customHeight="1" x14ac:dyDescent="0.25"/>
    <row r="1850" customFormat="1" ht="12.5" customHeight="1" x14ac:dyDescent="0.25"/>
    <row r="1851" customFormat="1" ht="12.5" customHeight="1" x14ac:dyDescent="0.25"/>
    <row r="1852" customFormat="1" ht="12.5" customHeight="1" x14ac:dyDescent="0.25"/>
    <row r="1853" customFormat="1" ht="12.5" customHeight="1" x14ac:dyDescent="0.25"/>
    <row r="1854" customFormat="1" ht="12.5" customHeight="1" x14ac:dyDescent="0.25"/>
    <row r="1855" customFormat="1" ht="12.5" customHeight="1" x14ac:dyDescent="0.25"/>
    <row r="1856" customFormat="1" ht="12.5" customHeight="1" x14ac:dyDescent="0.25"/>
    <row r="1857" customFormat="1" ht="12.5" customHeight="1" x14ac:dyDescent="0.25"/>
    <row r="1858" customFormat="1" ht="12.5" customHeight="1" x14ac:dyDescent="0.25"/>
    <row r="1859" customFormat="1" ht="12.5" customHeight="1" x14ac:dyDescent="0.25"/>
    <row r="1860" customFormat="1" ht="12.5" customHeight="1" x14ac:dyDescent="0.25"/>
    <row r="1861" customFormat="1" ht="12.5" customHeight="1" x14ac:dyDescent="0.25"/>
    <row r="1862" customFormat="1" ht="12.5" customHeight="1" x14ac:dyDescent="0.25"/>
    <row r="1863" customFormat="1" ht="12.5" customHeight="1" x14ac:dyDescent="0.25"/>
    <row r="1864" customFormat="1" ht="12.5" customHeight="1" x14ac:dyDescent="0.25"/>
    <row r="1865" customFormat="1" ht="12.5" customHeight="1" x14ac:dyDescent="0.25"/>
    <row r="1866" customFormat="1" ht="12.5" customHeight="1" x14ac:dyDescent="0.25"/>
    <row r="1867" customFormat="1" ht="12.5" customHeight="1" x14ac:dyDescent="0.25"/>
    <row r="1868" customFormat="1" ht="12.5" customHeight="1" x14ac:dyDescent="0.25"/>
    <row r="1869" customFormat="1" ht="12.5" customHeight="1" x14ac:dyDescent="0.25"/>
    <row r="1870" customFormat="1" ht="12.5" customHeight="1" x14ac:dyDescent="0.25"/>
    <row r="1871" customFormat="1" ht="12.5" customHeight="1" x14ac:dyDescent="0.25"/>
    <row r="1872" customFormat="1" ht="12.5" customHeight="1" x14ac:dyDescent="0.25"/>
    <row r="1873" customFormat="1" ht="12.5" customHeight="1" x14ac:dyDescent="0.25"/>
    <row r="1874" customFormat="1" ht="12.5" customHeight="1" x14ac:dyDescent="0.25"/>
    <row r="1875" customFormat="1" ht="12.5" customHeight="1" x14ac:dyDescent="0.25"/>
    <row r="1876" customFormat="1" ht="12.5" customHeight="1" x14ac:dyDescent="0.25"/>
    <row r="1877" customFormat="1" ht="12.5" customHeight="1" x14ac:dyDescent="0.25"/>
    <row r="1878" customFormat="1" ht="12.5" customHeight="1" x14ac:dyDescent="0.25"/>
    <row r="1879" customFormat="1" ht="12.5" customHeight="1" x14ac:dyDescent="0.25"/>
    <row r="1880" customFormat="1" ht="12.5" customHeight="1" x14ac:dyDescent="0.25"/>
    <row r="1881" customFormat="1" ht="12.5" customHeight="1" x14ac:dyDescent="0.25"/>
    <row r="1882" customFormat="1" ht="12.5" customHeight="1" x14ac:dyDescent="0.25"/>
    <row r="1883" customFormat="1" ht="12.5" customHeight="1" x14ac:dyDescent="0.25"/>
    <row r="1884" customFormat="1" ht="12.5" customHeight="1" x14ac:dyDescent="0.25"/>
    <row r="1885" customFormat="1" ht="12.5" customHeight="1" x14ac:dyDescent="0.25"/>
    <row r="1886" customFormat="1" ht="12.5" customHeight="1" x14ac:dyDescent="0.25"/>
    <row r="1887" customFormat="1" ht="12.5" customHeight="1" x14ac:dyDescent="0.25"/>
    <row r="1888" customFormat="1" ht="12.5" customHeight="1" x14ac:dyDescent="0.25"/>
    <row r="1889" customFormat="1" ht="12.5" customHeight="1" x14ac:dyDescent="0.25"/>
    <row r="1890" customFormat="1" ht="12.5" customHeight="1" x14ac:dyDescent="0.25"/>
    <row r="1891" customFormat="1" ht="12.5" customHeight="1" x14ac:dyDescent="0.25"/>
    <row r="1892" customFormat="1" ht="12.5" customHeight="1" x14ac:dyDescent="0.25"/>
    <row r="1893" customFormat="1" ht="12.5" customHeight="1" x14ac:dyDescent="0.25"/>
    <row r="1894" customFormat="1" ht="12.5" customHeight="1" x14ac:dyDescent="0.25"/>
    <row r="1895" customFormat="1" ht="12.5" customHeight="1" x14ac:dyDescent="0.25"/>
    <row r="1896" customFormat="1" ht="12.5" customHeight="1" x14ac:dyDescent="0.25"/>
    <row r="1897" customFormat="1" ht="12.5" customHeight="1" x14ac:dyDescent="0.25"/>
    <row r="1898" customFormat="1" ht="12.5" customHeight="1" x14ac:dyDescent="0.25"/>
    <row r="1899" customFormat="1" ht="12.5" customHeight="1" x14ac:dyDescent="0.25"/>
    <row r="1900" customFormat="1" ht="12.5" customHeight="1" x14ac:dyDescent="0.25"/>
    <row r="1901" customFormat="1" ht="12.5" customHeight="1" x14ac:dyDescent="0.25"/>
    <row r="1902" customFormat="1" ht="12.5" customHeight="1" x14ac:dyDescent="0.25"/>
    <row r="1903" customFormat="1" ht="12.5" customHeight="1" x14ac:dyDescent="0.25"/>
    <row r="1904" customFormat="1" ht="12.5" customHeight="1" x14ac:dyDescent="0.25"/>
    <row r="1905" customFormat="1" ht="12.5" customHeight="1" x14ac:dyDescent="0.25"/>
    <row r="1906" customFormat="1" ht="12.5" customHeight="1" x14ac:dyDescent="0.25"/>
    <row r="1907" customFormat="1" ht="12.5" customHeight="1" x14ac:dyDescent="0.25"/>
    <row r="1908" customFormat="1" ht="12.5" customHeight="1" x14ac:dyDescent="0.25"/>
    <row r="1909" customFormat="1" ht="12.5" customHeight="1" x14ac:dyDescent="0.25"/>
    <row r="1910" customFormat="1" ht="12.5" customHeight="1" x14ac:dyDescent="0.25"/>
    <row r="1911" customFormat="1" ht="12.5" customHeight="1" x14ac:dyDescent="0.25"/>
    <row r="1912" customFormat="1" ht="12.5" customHeight="1" x14ac:dyDescent="0.25"/>
    <row r="1913" customFormat="1" ht="12.5" customHeight="1" x14ac:dyDescent="0.25"/>
    <row r="1914" customFormat="1" ht="12.5" customHeight="1" x14ac:dyDescent="0.25"/>
    <row r="1915" customFormat="1" ht="12.5" customHeight="1" x14ac:dyDescent="0.25"/>
    <row r="1916" customFormat="1" ht="12.5" customHeight="1" x14ac:dyDescent="0.25"/>
    <row r="1917" customFormat="1" ht="12.5" customHeight="1" x14ac:dyDescent="0.25"/>
    <row r="1918" customFormat="1" ht="12.5" customHeight="1" x14ac:dyDescent="0.25"/>
    <row r="1919" customFormat="1" ht="12.5" customHeight="1" x14ac:dyDescent="0.25"/>
    <row r="1920" customFormat="1" ht="12.5" customHeight="1" x14ac:dyDescent="0.25"/>
    <row r="1921" customFormat="1" ht="12.5" customHeight="1" x14ac:dyDescent="0.25"/>
    <row r="1922" customFormat="1" ht="12.5" customHeight="1" x14ac:dyDescent="0.25"/>
    <row r="1923" customFormat="1" ht="12.5" customHeight="1" x14ac:dyDescent="0.25"/>
    <row r="1924" customFormat="1" ht="12.5" customHeight="1" x14ac:dyDescent="0.25"/>
    <row r="1925" customFormat="1" ht="12.5" customHeight="1" x14ac:dyDescent="0.25"/>
    <row r="1926" customFormat="1" ht="12.5" customHeight="1" x14ac:dyDescent="0.25"/>
    <row r="1927" customFormat="1" ht="12.5" customHeight="1" x14ac:dyDescent="0.25"/>
    <row r="1928" customFormat="1" ht="12.5" customHeight="1" x14ac:dyDescent="0.25"/>
    <row r="1929" customFormat="1" ht="12.5" customHeight="1" x14ac:dyDescent="0.25"/>
    <row r="1930" customFormat="1" ht="12.5" customHeight="1" x14ac:dyDescent="0.25"/>
    <row r="1931" customFormat="1" ht="12.5" customHeight="1" x14ac:dyDescent="0.25"/>
    <row r="1932" customFormat="1" ht="12.5" customHeight="1" x14ac:dyDescent="0.25"/>
    <row r="1933" customFormat="1" ht="12.5" customHeight="1" x14ac:dyDescent="0.25"/>
    <row r="1934" customFormat="1" ht="12.5" customHeight="1" x14ac:dyDescent="0.25"/>
    <row r="1935" customFormat="1" ht="12.5" customHeight="1" x14ac:dyDescent="0.25"/>
    <row r="1936" customFormat="1" ht="12.5" customHeight="1" x14ac:dyDescent="0.25"/>
    <row r="1937" customFormat="1" ht="12.5" customHeight="1" x14ac:dyDescent="0.25"/>
    <row r="1938" customFormat="1" ht="12.5" customHeight="1" x14ac:dyDescent="0.25"/>
    <row r="1939" customFormat="1" ht="12.5" customHeight="1" x14ac:dyDescent="0.25"/>
    <row r="1940" customFormat="1" ht="12.5" customHeight="1" x14ac:dyDescent="0.25"/>
    <row r="1941" customFormat="1" ht="12.5" customHeight="1" x14ac:dyDescent="0.25"/>
    <row r="1942" customFormat="1" ht="12.5" customHeight="1" x14ac:dyDescent="0.25"/>
    <row r="1943" customFormat="1" ht="12.5" customHeight="1" x14ac:dyDescent="0.25"/>
    <row r="1944" customFormat="1" ht="12.5" customHeight="1" x14ac:dyDescent="0.25"/>
    <row r="1945" customFormat="1" ht="12.5" customHeight="1" x14ac:dyDescent="0.25"/>
    <row r="1946" customFormat="1" ht="12.5" customHeight="1" x14ac:dyDescent="0.25"/>
    <row r="1947" customFormat="1" ht="12.5" customHeight="1" x14ac:dyDescent="0.25"/>
    <row r="1948" customFormat="1" ht="12.5" customHeight="1" x14ac:dyDescent="0.25"/>
    <row r="1949" customFormat="1" ht="12.5" customHeight="1" x14ac:dyDescent="0.25"/>
    <row r="1950" customFormat="1" ht="12.5" customHeight="1" x14ac:dyDescent="0.25"/>
    <row r="1951" customFormat="1" ht="12.5" customHeight="1" x14ac:dyDescent="0.25"/>
    <row r="1952" customFormat="1" ht="12.5" customHeight="1" x14ac:dyDescent="0.25"/>
    <row r="1953" customFormat="1" ht="12.5" customHeight="1" x14ac:dyDescent="0.25"/>
    <row r="1954" customFormat="1" ht="12.5" customHeight="1" x14ac:dyDescent="0.25"/>
    <row r="1955" customFormat="1" ht="12.5" customHeight="1" x14ac:dyDescent="0.25"/>
    <row r="1956" customFormat="1" ht="12.5" customHeight="1" x14ac:dyDescent="0.25"/>
    <row r="1957" customFormat="1" ht="12.5" customHeight="1" x14ac:dyDescent="0.25"/>
    <row r="1958" customFormat="1" ht="12.5" customHeight="1" x14ac:dyDescent="0.25"/>
    <row r="1959" customFormat="1" ht="12.5" customHeight="1" x14ac:dyDescent="0.25"/>
    <row r="1960" customFormat="1" ht="12.5" customHeight="1" x14ac:dyDescent="0.25"/>
    <row r="1961" customFormat="1" ht="12.5" customHeight="1" x14ac:dyDescent="0.25"/>
    <row r="1962" customFormat="1" ht="12.5" customHeight="1" x14ac:dyDescent="0.25"/>
    <row r="1963" customFormat="1" ht="12.5" customHeight="1" x14ac:dyDescent="0.25"/>
    <row r="1964" customFormat="1" ht="12.5" customHeight="1" x14ac:dyDescent="0.25"/>
    <row r="1965" customFormat="1" ht="12.5" customHeight="1" x14ac:dyDescent="0.25"/>
    <row r="1966" customFormat="1" ht="12.5" customHeight="1" x14ac:dyDescent="0.25"/>
    <row r="1967" customFormat="1" ht="12.5" customHeight="1" x14ac:dyDescent="0.25"/>
    <row r="1968" customFormat="1" ht="12.5" customHeight="1" x14ac:dyDescent="0.25"/>
    <row r="1969" customFormat="1" ht="12.5" customHeight="1" x14ac:dyDescent="0.25"/>
    <row r="1970" customFormat="1" ht="12.5" customHeight="1" x14ac:dyDescent="0.25"/>
    <row r="1971" customFormat="1" ht="12.5" customHeight="1" x14ac:dyDescent="0.25"/>
    <row r="1972" customFormat="1" ht="12.5" customHeight="1" x14ac:dyDescent="0.25"/>
    <row r="1973" customFormat="1" ht="12.5" customHeight="1" x14ac:dyDescent="0.25"/>
    <row r="1974" customFormat="1" ht="12.5" customHeight="1" x14ac:dyDescent="0.25"/>
    <row r="1975" customFormat="1" ht="12.5" customHeight="1" x14ac:dyDescent="0.25"/>
    <row r="1976" customFormat="1" ht="12.5" customHeight="1" x14ac:dyDescent="0.25"/>
    <row r="1977" customFormat="1" ht="12.5" customHeight="1" x14ac:dyDescent="0.25"/>
    <row r="1978" customFormat="1" ht="12.5" customHeight="1" x14ac:dyDescent="0.25"/>
    <row r="1979" customFormat="1" ht="12.5" customHeight="1" x14ac:dyDescent="0.25"/>
    <row r="1980" customFormat="1" ht="12.5" customHeight="1" x14ac:dyDescent="0.25"/>
    <row r="1981" customFormat="1" ht="12.5" customHeight="1" x14ac:dyDescent="0.25"/>
    <row r="1982" customFormat="1" ht="12.5" customHeight="1" x14ac:dyDescent="0.25"/>
    <row r="1983" customFormat="1" ht="12.5" customHeight="1" x14ac:dyDescent="0.25"/>
    <row r="1984" customFormat="1" ht="12.5" customHeight="1" x14ac:dyDescent="0.25"/>
    <row r="1985" customFormat="1" ht="12.5" customHeight="1" x14ac:dyDescent="0.25"/>
    <row r="1986" customFormat="1" ht="12.5" customHeight="1" x14ac:dyDescent="0.25"/>
    <row r="1987" customFormat="1" ht="12.5" customHeight="1" x14ac:dyDescent="0.25"/>
    <row r="1988" customFormat="1" ht="12.5" customHeight="1" x14ac:dyDescent="0.25"/>
    <row r="1989" customFormat="1" ht="12.5" customHeight="1" x14ac:dyDescent="0.25"/>
    <row r="1990" customFormat="1" ht="12.5" customHeight="1" x14ac:dyDescent="0.25"/>
    <row r="1991" customFormat="1" ht="12.5" customHeight="1" x14ac:dyDescent="0.25"/>
    <row r="1992" customFormat="1" ht="12.5" customHeight="1" x14ac:dyDescent="0.25"/>
    <row r="1993" customFormat="1" ht="12.5" customHeight="1" x14ac:dyDescent="0.25"/>
    <row r="1994" customFormat="1" ht="12.5" customHeight="1" x14ac:dyDescent="0.25"/>
    <row r="1995" customFormat="1" ht="12.5" customHeight="1" x14ac:dyDescent="0.25"/>
    <row r="1996" customFormat="1" ht="12.5" customHeight="1" x14ac:dyDescent="0.25"/>
    <row r="1997" customFormat="1" ht="12.5" customHeight="1" x14ac:dyDescent="0.25"/>
    <row r="1998" customFormat="1" ht="12.5" customHeight="1" x14ac:dyDescent="0.25"/>
    <row r="1999" customFormat="1" ht="12.5" customHeight="1" x14ac:dyDescent="0.25"/>
    <row r="2000" customFormat="1" ht="12.5" customHeight="1" x14ac:dyDescent="0.25"/>
    <row r="2001" customFormat="1" ht="12.5" customHeight="1" x14ac:dyDescent="0.25"/>
    <row r="2002" customFormat="1" ht="12.5" customHeight="1" x14ac:dyDescent="0.25"/>
    <row r="2003" customFormat="1" ht="12.5" customHeight="1" x14ac:dyDescent="0.25"/>
    <row r="2004" customFormat="1" ht="12.5" customHeight="1" x14ac:dyDescent="0.25"/>
    <row r="2005" customFormat="1" ht="12.5" customHeight="1" x14ac:dyDescent="0.25"/>
    <row r="2006" customFormat="1" ht="12.5" customHeight="1" x14ac:dyDescent="0.25"/>
    <row r="2007" customFormat="1" ht="12.5" customHeight="1" x14ac:dyDescent="0.25"/>
    <row r="2008" customFormat="1" ht="12.5" customHeight="1" x14ac:dyDescent="0.25"/>
    <row r="2009" customFormat="1" ht="12.5" customHeight="1" x14ac:dyDescent="0.25"/>
    <row r="2010" customFormat="1" ht="12.5" customHeight="1" x14ac:dyDescent="0.25"/>
    <row r="2011" customFormat="1" ht="12.5" customHeight="1" x14ac:dyDescent="0.25"/>
    <row r="2012" customFormat="1" ht="12.5" customHeight="1" x14ac:dyDescent="0.25"/>
    <row r="2013" customFormat="1" ht="12.5" customHeight="1" x14ac:dyDescent="0.25"/>
    <row r="2014" customFormat="1" ht="12.5" customHeight="1" x14ac:dyDescent="0.25"/>
    <row r="2015" customFormat="1" ht="12.5" customHeight="1" x14ac:dyDescent="0.25"/>
    <row r="2016" customFormat="1" ht="12.5" customHeight="1" x14ac:dyDescent="0.25"/>
    <row r="2017" customFormat="1" ht="12.5" customHeight="1" x14ac:dyDescent="0.25"/>
    <row r="2018" customFormat="1" ht="12.5" customHeight="1" x14ac:dyDescent="0.25"/>
    <row r="2019" customFormat="1" ht="12.5" customHeight="1" x14ac:dyDescent="0.25"/>
    <row r="2020" customFormat="1" ht="12.5" customHeight="1" x14ac:dyDescent="0.25"/>
    <row r="2021" customFormat="1" ht="12.5" customHeight="1" x14ac:dyDescent="0.25"/>
    <row r="2022" customFormat="1" ht="12.5" customHeight="1" x14ac:dyDescent="0.25"/>
    <row r="2023" customFormat="1" ht="12.5" customHeight="1" x14ac:dyDescent="0.25"/>
    <row r="2024" customFormat="1" ht="12.5" customHeight="1" x14ac:dyDescent="0.25"/>
    <row r="2025" customFormat="1" ht="12.5" customHeight="1" x14ac:dyDescent="0.25"/>
    <row r="2026" customFormat="1" ht="12.5" customHeight="1" x14ac:dyDescent="0.25"/>
    <row r="2027" customFormat="1" ht="12.5" customHeight="1" x14ac:dyDescent="0.25"/>
    <row r="2028" customFormat="1" ht="12.5" customHeight="1" x14ac:dyDescent="0.25"/>
    <row r="2029" customFormat="1" ht="12.5" customHeight="1" x14ac:dyDescent="0.25"/>
    <row r="2030" customFormat="1" ht="12.5" customHeight="1" x14ac:dyDescent="0.25"/>
    <row r="2031" customFormat="1" ht="12.5" customHeight="1" x14ac:dyDescent="0.25"/>
    <row r="2032" customFormat="1" ht="12.5" customHeight="1" x14ac:dyDescent="0.25"/>
    <row r="2033" customFormat="1" ht="12.5" customHeight="1" x14ac:dyDescent="0.25"/>
    <row r="2034" customFormat="1" ht="12.5" customHeight="1" x14ac:dyDescent="0.25"/>
    <row r="2035" customFormat="1" ht="12.5" customHeight="1" x14ac:dyDescent="0.25"/>
    <row r="2036" customFormat="1" ht="12.5" customHeight="1" x14ac:dyDescent="0.25"/>
    <row r="2037" customFormat="1" ht="12.5" customHeight="1" x14ac:dyDescent="0.25"/>
    <row r="2038" customFormat="1" ht="12.5" customHeight="1" x14ac:dyDescent="0.25"/>
    <row r="2039" customFormat="1" ht="12.5" customHeight="1" x14ac:dyDescent="0.25"/>
    <row r="2040" customFormat="1" ht="12.5" customHeight="1" x14ac:dyDescent="0.25"/>
    <row r="2041" customFormat="1" ht="12.5" customHeight="1" x14ac:dyDescent="0.25"/>
    <row r="2042" customFormat="1" ht="12.5" customHeight="1" x14ac:dyDescent="0.25"/>
    <row r="2043" customFormat="1" ht="12.5" customHeight="1" x14ac:dyDescent="0.25"/>
    <row r="2044" customFormat="1" ht="12.5" customHeight="1" x14ac:dyDescent="0.25"/>
    <row r="2045" customFormat="1" ht="12.5" customHeight="1" x14ac:dyDescent="0.25"/>
    <row r="2046" customFormat="1" ht="12.5" customHeight="1" x14ac:dyDescent="0.25"/>
    <row r="2047" customFormat="1" ht="12.5" customHeight="1" x14ac:dyDescent="0.25"/>
    <row r="2048" customFormat="1" ht="12.5" customHeight="1" x14ac:dyDescent="0.25"/>
    <row r="2049" customFormat="1" ht="12.5" customHeight="1" x14ac:dyDescent="0.25"/>
    <row r="2050" customFormat="1" ht="12.5" customHeight="1" x14ac:dyDescent="0.25"/>
    <row r="2051" customFormat="1" ht="12.5" customHeight="1" x14ac:dyDescent="0.25"/>
    <row r="2052" customFormat="1" ht="12.5" customHeight="1" x14ac:dyDescent="0.25"/>
    <row r="2053" customFormat="1" ht="12.5" customHeight="1" x14ac:dyDescent="0.25"/>
    <row r="2054" customFormat="1" ht="12.5" customHeight="1" x14ac:dyDescent="0.25"/>
    <row r="2055" customFormat="1" ht="12.5" customHeight="1" x14ac:dyDescent="0.25"/>
    <row r="2056" customFormat="1" ht="12.5" customHeight="1" x14ac:dyDescent="0.25"/>
    <row r="2057" customFormat="1" ht="12.5" customHeight="1" x14ac:dyDescent="0.25"/>
    <row r="2058" customFormat="1" ht="12.5" customHeight="1" x14ac:dyDescent="0.25"/>
    <row r="2059" customFormat="1" ht="12.5" customHeight="1" x14ac:dyDescent="0.25"/>
    <row r="2060" customFormat="1" ht="12.5" customHeight="1" x14ac:dyDescent="0.25"/>
    <row r="2061" customFormat="1" ht="12.5" customHeight="1" x14ac:dyDescent="0.25"/>
    <row r="2062" customFormat="1" ht="12.5" customHeight="1" x14ac:dyDescent="0.25"/>
    <row r="2063" customFormat="1" ht="12.5" customHeight="1" x14ac:dyDescent="0.25"/>
    <row r="2064" customFormat="1" ht="12.5" customHeight="1" x14ac:dyDescent="0.25"/>
    <row r="2065" customFormat="1" ht="12.5" customHeight="1" x14ac:dyDescent="0.25"/>
    <row r="2066" customFormat="1" ht="12.5" customHeight="1" x14ac:dyDescent="0.25"/>
    <row r="2067" customFormat="1" ht="12.5" customHeight="1" x14ac:dyDescent="0.25"/>
    <row r="2068" customFormat="1" ht="12.5" customHeight="1" x14ac:dyDescent="0.25"/>
    <row r="2069" customFormat="1" ht="12.5" customHeight="1" x14ac:dyDescent="0.25"/>
    <row r="2070" customFormat="1" ht="12.5" customHeight="1" x14ac:dyDescent="0.25"/>
    <row r="2071" customFormat="1" ht="12.5" customHeight="1" x14ac:dyDescent="0.25"/>
    <row r="2072" customFormat="1" ht="12.5" customHeight="1" x14ac:dyDescent="0.25"/>
    <row r="2073" customFormat="1" ht="12.5" customHeight="1" x14ac:dyDescent="0.25"/>
    <row r="2074" customFormat="1" ht="12.5" customHeight="1" x14ac:dyDescent="0.25"/>
    <row r="2075" customFormat="1" ht="12.5" customHeight="1" x14ac:dyDescent="0.25"/>
    <row r="2076" customFormat="1" ht="12.5" customHeight="1" x14ac:dyDescent="0.25"/>
    <row r="2077" customFormat="1" ht="12.5" customHeight="1" x14ac:dyDescent="0.25"/>
    <row r="2078" customFormat="1" ht="12.5" customHeight="1" x14ac:dyDescent="0.25"/>
    <row r="2079" customFormat="1" ht="12.5" customHeight="1" x14ac:dyDescent="0.25"/>
    <row r="2080" customFormat="1" ht="12.5" customHeight="1" x14ac:dyDescent="0.25"/>
    <row r="2081" customFormat="1" ht="12.5" customHeight="1" x14ac:dyDescent="0.25"/>
    <row r="2082" customFormat="1" ht="12.5" customHeight="1" x14ac:dyDescent="0.25"/>
    <row r="2083" customFormat="1" ht="12.5" customHeight="1" x14ac:dyDescent="0.25"/>
    <row r="2084" customFormat="1" ht="12.5" customHeight="1" x14ac:dyDescent="0.25"/>
    <row r="2085" customFormat="1" ht="12.5" customHeight="1" x14ac:dyDescent="0.25"/>
    <row r="2086" customFormat="1" ht="12.5" customHeight="1" x14ac:dyDescent="0.25"/>
    <row r="2087" customFormat="1" ht="12.5" customHeight="1" x14ac:dyDescent="0.25"/>
    <row r="2088" customFormat="1" ht="12.5" customHeight="1" x14ac:dyDescent="0.25"/>
    <row r="2089" customFormat="1" ht="12.5" customHeight="1" x14ac:dyDescent="0.25"/>
    <row r="2090" customFormat="1" ht="12.5" customHeight="1" x14ac:dyDescent="0.25"/>
    <row r="2091" customFormat="1" ht="12.5" customHeight="1" x14ac:dyDescent="0.25"/>
    <row r="2092" customFormat="1" ht="12.5" customHeight="1" x14ac:dyDescent="0.25"/>
    <row r="2093" customFormat="1" ht="12.5" customHeight="1" x14ac:dyDescent="0.25"/>
    <row r="2094" customFormat="1" ht="12.5" customHeight="1" x14ac:dyDescent="0.25"/>
    <row r="2095" customFormat="1" ht="12.5" customHeight="1" x14ac:dyDescent="0.25"/>
    <row r="2096" customFormat="1" ht="12.5" customHeight="1" x14ac:dyDescent="0.25"/>
    <row r="2097" customFormat="1" ht="12.5" customHeight="1" x14ac:dyDescent="0.25"/>
    <row r="2098" customFormat="1" ht="12.5" customHeight="1" x14ac:dyDescent="0.25"/>
    <row r="2099" customFormat="1" ht="12.5" customHeight="1" x14ac:dyDescent="0.25"/>
    <row r="2100" customFormat="1" ht="12.5" customHeight="1" x14ac:dyDescent="0.25"/>
    <row r="2101" customFormat="1" ht="12.5" customHeight="1" x14ac:dyDescent="0.25"/>
    <row r="2102" customFormat="1" ht="12.5" customHeight="1" x14ac:dyDescent="0.25"/>
    <row r="2103" customFormat="1" ht="12.5" customHeight="1" x14ac:dyDescent="0.25"/>
    <row r="2104" customFormat="1" ht="12.5" customHeight="1" x14ac:dyDescent="0.25"/>
    <row r="2105" customFormat="1" ht="12.5" customHeight="1" x14ac:dyDescent="0.25"/>
    <row r="2106" customFormat="1" ht="12.5" customHeight="1" x14ac:dyDescent="0.25"/>
    <row r="2107" customFormat="1" ht="12.5" customHeight="1" x14ac:dyDescent="0.25"/>
    <row r="2108" customFormat="1" ht="12.5" customHeight="1" x14ac:dyDescent="0.25"/>
    <row r="2109" customFormat="1" ht="12.5" customHeight="1" x14ac:dyDescent="0.25"/>
    <row r="2110" customFormat="1" ht="12.5" customHeight="1" x14ac:dyDescent="0.25"/>
    <row r="2111" customFormat="1" ht="12.5" customHeight="1" x14ac:dyDescent="0.25"/>
    <row r="2112" customFormat="1" ht="12.5" customHeight="1" x14ac:dyDescent="0.25"/>
    <row r="2113" customFormat="1" ht="12.5" customHeight="1" x14ac:dyDescent="0.25"/>
    <row r="2114" customFormat="1" ht="12.5" customHeight="1" x14ac:dyDescent="0.25"/>
    <row r="2115" customFormat="1" ht="12.5" customHeight="1" x14ac:dyDescent="0.25"/>
    <row r="2116" customFormat="1" ht="12.5" customHeight="1" x14ac:dyDescent="0.25"/>
    <row r="2117" customFormat="1" ht="12.5" customHeight="1" x14ac:dyDescent="0.25"/>
    <row r="2118" customFormat="1" ht="12.5" customHeight="1" x14ac:dyDescent="0.25"/>
    <row r="2119" customFormat="1" ht="12.5" customHeight="1" x14ac:dyDescent="0.25"/>
    <row r="2120" customFormat="1" ht="12.5" customHeight="1" x14ac:dyDescent="0.25"/>
    <row r="2121" customFormat="1" ht="12.5" customHeight="1" x14ac:dyDescent="0.25"/>
    <row r="2122" customFormat="1" ht="12.5" customHeight="1" x14ac:dyDescent="0.25"/>
    <row r="2123" customFormat="1" ht="12.5" customHeight="1" x14ac:dyDescent="0.25"/>
    <row r="2124" customFormat="1" ht="12.5" customHeight="1" x14ac:dyDescent="0.25"/>
    <row r="2125" customFormat="1" ht="12.5" customHeight="1" x14ac:dyDescent="0.25"/>
    <row r="2126" customFormat="1" ht="12.5" customHeight="1" x14ac:dyDescent="0.25"/>
    <row r="2127" customFormat="1" ht="12.5" customHeight="1" x14ac:dyDescent="0.25"/>
    <row r="2128" customFormat="1" ht="12.5" customHeight="1" x14ac:dyDescent="0.25"/>
    <row r="2129" customFormat="1" ht="12.5" customHeight="1" x14ac:dyDescent="0.25"/>
    <row r="2130" customFormat="1" ht="12.5" customHeight="1" x14ac:dyDescent="0.25"/>
    <row r="2131" customFormat="1" ht="12.5" customHeight="1" x14ac:dyDescent="0.25"/>
    <row r="2132" customFormat="1" ht="12.5" customHeight="1" x14ac:dyDescent="0.25"/>
    <row r="2133" customFormat="1" ht="12.5" customHeight="1" x14ac:dyDescent="0.25"/>
    <row r="2134" customFormat="1" ht="12.5" customHeight="1" x14ac:dyDescent="0.25"/>
    <row r="2135" customFormat="1" ht="12.5" customHeight="1" x14ac:dyDescent="0.25"/>
    <row r="2136" customFormat="1" ht="12.5" customHeight="1" x14ac:dyDescent="0.25"/>
    <row r="2137" customFormat="1" ht="12.5" customHeight="1" x14ac:dyDescent="0.25"/>
    <row r="2138" customFormat="1" ht="12.5" customHeight="1" x14ac:dyDescent="0.25"/>
    <row r="2139" customFormat="1" ht="12.5" customHeight="1" x14ac:dyDescent="0.25"/>
    <row r="2140" customFormat="1" ht="12.5" customHeight="1" x14ac:dyDescent="0.25"/>
    <row r="2141" customFormat="1" ht="12.5" customHeight="1" x14ac:dyDescent="0.25"/>
    <row r="2142" customFormat="1" ht="12.5" customHeight="1" x14ac:dyDescent="0.25"/>
    <row r="2143" customFormat="1" ht="12.5" customHeight="1" x14ac:dyDescent="0.25"/>
    <row r="2144" customFormat="1" ht="12.5" customHeight="1" x14ac:dyDescent="0.25"/>
    <row r="2145" customFormat="1" ht="12.5" customHeight="1" x14ac:dyDescent="0.25"/>
    <row r="2146" customFormat="1" ht="12.5" customHeight="1" x14ac:dyDescent="0.25"/>
    <row r="2147" customFormat="1" ht="12.5" customHeight="1" x14ac:dyDescent="0.25"/>
    <row r="2148" customFormat="1" ht="12.5" customHeight="1" x14ac:dyDescent="0.25"/>
    <row r="2149" customFormat="1" ht="12.5" customHeight="1" x14ac:dyDescent="0.25"/>
    <row r="2150" customFormat="1" ht="12.5" customHeight="1" x14ac:dyDescent="0.25"/>
    <row r="2151" customFormat="1" ht="12.5" customHeight="1" x14ac:dyDescent="0.25"/>
    <row r="2152" customFormat="1" ht="12.5" customHeight="1" x14ac:dyDescent="0.25"/>
    <row r="2153" customFormat="1" ht="12.5" customHeight="1" x14ac:dyDescent="0.25"/>
    <row r="2154" customFormat="1" ht="12.5" customHeight="1" x14ac:dyDescent="0.25"/>
    <row r="2155" customFormat="1" ht="12.5" customHeight="1" x14ac:dyDescent="0.25"/>
    <row r="2156" customFormat="1" ht="12.5" customHeight="1" x14ac:dyDescent="0.25"/>
    <row r="2157" customFormat="1" ht="12.5" customHeight="1" x14ac:dyDescent="0.25"/>
    <row r="2158" customFormat="1" ht="12.5" customHeight="1" x14ac:dyDescent="0.25"/>
    <row r="2159" customFormat="1" ht="12.5" customHeight="1" x14ac:dyDescent="0.25"/>
    <row r="2160" customFormat="1" ht="12.5" customHeight="1" x14ac:dyDescent="0.25"/>
    <row r="2161" customFormat="1" ht="12.5" customHeight="1" x14ac:dyDescent="0.25"/>
    <row r="2162" customFormat="1" ht="12.5" customHeight="1" x14ac:dyDescent="0.25"/>
    <row r="2163" customFormat="1" ht="12.5" customHeight="1" x14ac:dyDescent="0.25"/>
    <row r="2164" customFormat="1" ht="12.5" customHeight="1" x14ac:dyDescent="0.25"/>
    <row r="2165" customFormat="1" ht="12.5" customHeight="1" x14ac:dyDescent="0.25"/>
    <row r="2166" customFormat="1" ht="12.5" customHeight="1" x14ac:dyDescent="0.25"/>
    <row r="2167" customFormat="1" ht="12.5" customHeight="1" x14ac:dyDescent="0.25"/>
    <row r="2168" customFormat="1" ht="12.5" customHeight="1" x14ac:dyDescent="0.25"/>
    <row r="2169" customFormat="1" ht="12.5" customHeight="1" x14ac:dyDescent="0.25"/>
    <row r="2170" customFormat="1" ht="12.5" customHeight="1" x14ac:dyDescent="0.25"/>
    <row r="2171" customFormat="1" ht="12.5" customHeight="1" x14ac:dyDescent="0.25"/>
    <row r="2172" customFormat="1" ht="12.5" customHeight="1" x14ac:dyDescent="0.25"/>
    <row r="2173" customFormat="1" ht="12.5" customHeight="1" x14ac:dyDescent="0.25"/>
    <row r="2174" customFormat="1" ht="12.5" customHeight="1" x14ac:dyDescent="0.25"/>
    <row r="2175" customFormat="1" ht="12.5" customHeight="1" x14ac:dyDescent="0.25"/>
    <row r="2176" customFormat="1" ht="12.5" customHeight="1" x14ac:dyDescent="0.25"/>
    <row r="2177" customFormat="1" ht="12.5" customHeight="1" x14ac:dyDescent="0.25"/>
    <row r="2178" customFormat="1" ht="12.5" customHeight="1" x14ac:dyDescent="0.25"/>
    <row r="2179" customFormat="1" ht="12.5" customHeight="1" x14ac:dyDescent="0.25"/>
    <row r="2180" customFormat="1" ht="12.5" customHeight="1" x14ac:dyDescent="0.25"/>
    <row r="2181" customFormat="1" ht="12.5" customHeight="1" x14ac:dyDescent="0.25"/>
    <row r="2182" customFormat="1" ht="12.5" customHeight="1" x14ac:dyDescent="0.25"/>
    <row r="2183" customFormat="1" ht="12.5" customHeight="1" x14ac:dyDescent="0.25"/>
    <row r="2184" customFormat="1" ht="12.5" customHeight="1" x14ac:dyDescent="0.25"/>
    <row r="2185" customFormat="1" ht="12.5" customHeight="1" x14ac:dyDescent="0.25"/>
    <row r="2186" customFormat="1" ht="12.5" customHeight="1" x14ac:dyDescent="0.25"/>
    <row r="2187" customFormat="1" ht="12.5" customHeight="1" x14ac:dyDescent="0.25"/>
    <row r="2188" customFormat="1" ht="12.5" customHeight="1" x14ac:dyDescent="0.25"/>
    <row r="2189" customFormat="1" ht="12.5" customHeight="1" x14ac:dyDescent="0.25"/>
    <row r="2190" customFormat="1" ht="12.5" customHeight="1" x14ac:dyDescent="0.25"/>
    <row r="2191" customFormat="1" ht="12.5" customHeight="1" x14ac:dyDescent="0.25"/>
    <row r="2192" customFormat="1" ht="12.5" customHeight="1" x14ac:dyDescent="0.25"/>
    <row r="2193" customFormat="1" ht="12.5" customHeight="1" x14ac:dyDescent="0.25"/>
    <row r="2194" customFormat="1" ht="12.5" customHeight="1" x14ac:dyDescent="0.25"/>
    <row r="2195" customFormat="1" ht="12.5" customHeight="1" x14ac:dyDescent="0.25"/>
    <row r="2196" customFormat="1" ht="12.5" customHeight="1" x14ac:dyDescent="0.25"/>
    <row r="2197" customFormat="1" ht="12.5" customHeight="1" x14ac:dyDescent="0.25"/>
    <row r="2198" customFormat="1" ht="12.5" customHeight="1" x14ac:dyDescent="0.25"/>
    <row r="2199" customFormat="1" ht="12.5" customHeight="1" x14ac:dyDescent="0.25"/>
    <row r="2200" customFormat="1" ht="12.5" customHeight="1" x14ac:dyDescent="0.25"/>
    <row r="2201" customFormat="1" ht="12.5" customHeight="1" x14ac:dyDescent="0.25"/>
    <row r="2202" customFormat="1" ht="12.5" customHeight="1" x14ac:dyDescent="0.25"/>
    <row r="2203" customFormat="1" ht="12.5" customHeight="1" x14ac:dyDescent="0.25"/>
    <row r="2204" customFormat="1" ht="12.5" customHeight="1" x14ac:dyDescent="0.25"/>
    <row r="2205" customFormat="1" ht="12.5" customHeight="1" x14ac:dyDescent="0.25"/>
    <row r="2206" customFormat="1" ht="12.5" customHeight="1" x14ac:dyDescent="0.25"/>
    <row r="2207" customFormat="1" ht="12.5" customHeight="1" x14ac:dyDescent="0.25"/>
    <row r="2208" customFormat="1" ht="12.5" customHeight="1" x14ac:dyDescent="0.25"/>
    <row r="2209" customFormat="1" ht="12.5" customHeight="1" x14ac:dyDescent="0.25"/>
    <row r="2210" customFormat="1" ht="12.5" customHeight="1" x14ac:dyDescent="0.25"/>
    <row r="2211" customFormat="1" ht="12.5" customHeight="1" x14ac:dyDescent="0.25"/>
    <row r="2212" customFormat="1" ht="12.5" customHeight="1" x14ac:dyDescent="0.25"/>
    <row r="2213" customFormat="1" ht="12.5" customHeight="1" x14ac:dyDescent="0.25"/>
    <row r="2214" customFormat="1" ht="12.5" customHeight="1" x14ac:dyDescent="0.25"/>
    <row r="2215" customFormat="1" ht="12.5" customHeight="1" x14ac:dyDescent="0.25"/>
    <row r="2216" customFormat="1" ht="12.5" customHeight="1" x14ac:dyDescent="0.25"/>
    <row r="2217" customFormat="1" ht="12.5" customHeight="1" x14ac:dyDescent="0.25"/>
    <row r="2218" customFormat="1" ht="12.5" customHeight="1" x14ac:dyDescent="0.25"/>
    <row r="2219" customFormat="1" ht="12.5" customHeight="1" x14ac:dyDescent="0.25"/>
    <row r="2220" customFormat="1" ht="12.5" customHeight="1" x14ac:dyDescent="0.25"/>
    <row r="2221" customFormat="1" ht="12.5" customHeight="1" x14ac:dyDescent="0.25"/>
    <row r="2222" customFormat="1" ht="12.5" customHeight="1" x14ac:dyDescent="0.25"/>
    <row r="2223" customFormat="1" ht="12.5" customHeight="1" x14ac:dyDescent="0.25"/>
    <row r="2224" customFormat="1" ht="12.5" customHeight="1" x14ac:dyDescent="0.25"/>
    <row r="2225" customFormat="1" ht="12.5" customHeight="1" x14ac:dyDescent="0.25"/>
    <row r="2226" customFormat="1" ht="12.5" customHeight="1" x14ac:dyDescent="0.25"/>
    <row r="2227" customFormat="1" ht="12.5" customHeight="1" x14ac:dyDescent="0.25"/>
    <row r="2228" customFormat="1" ht="12.5" customHeight="1" x14ac:dyDescent="0.25"/>
    <row r="2229" customFormat="1" ht="12.5" customHeight="1" x14ac:dyDescent="0.25"/>
    <row r="2230" customFormat="1" ht="12.5" customHeight="1" x14ac:dyDescent="0.25"/>
    <row r="2231" customFormat="1" ht="12.5" customHeight="1" x14ac:dyDescent="0.25"/>
    <row r="2232" customFormat="1" ht="12.5" customHeight="1" x14ac:dyDescent="0.25"/>
    <row r="2233" customFormat="1" ht="12.5" customHeight="1" x14ac:dyDescent="0.25"/>
    <row r="2234" customFormat="1" ht="12.5" customHeight="1" x14ac:dyDescent="0.25"/>
    <row r="2235" customFormat="1" ht="12.5" customHeight="1" x14ac:dyDescent="0.25"/>
    <row r="2236" customFormat="1" ht="12.5" customHeight="1" x14ac:dyDescent="0.25"/>
    <row r="2237" customFormat="1" ht="12.5" customHeight="1" x14ac:dyDescent="0.25"/>
    <row r="2238" customFormat="1" ht="12.5" customHeight="1" x14ac:dyDescent="0.25"/>
    <row r="2239" customFormat="1" ht="12.5" customHeight="1" x14ac:dyDescent="0.25"/>
    <row r="2240" customFormat="1" ht="12.5" customHeight="1" x14ac:dyDescent="0.25"/>
    <row r="2241" customFormat="1" ht="12.5" customHeight="1" x14ac:dyDescent="0.25"/>
    <row r="2242" customFormat="1" ht="12.5" customHeight="1" x14ac:dyDescent="0.25"/>
    <row r="2243" customFormat="1" ht="12.5" customHeight="1" x14ac:dyDescent="0.25"/>
    <row r="2244" customFormat="1" ht="12.5" customHeight="1" x14ac:dyDescent="0.25"/>
    <row r="2245" customFormat="1" ht="12.5" customHeight="1" x14ac:dyDescent="0.25"/>
    <row r="2246" customFormat="1" ht="12.5" customHeight="1" x14ac:dyDescent="0.25"/>
    <row r="2247" customFormat="1" ht="12.5" customHeight="1" x14ac:dyDescent="0.25"/>
    <row r="2248" customFormat="1" ht="12.5" customHeight="1" x14ac:dyDescent="0.25"/>
    <row r="2249" customFormat="1" ht="12.5" customHeight="1" x14ac:dyDescent="0.25"/>
    <row r="2250" customFormat="1" ht="12.5" customHeight="1" x14ac:dyDescent="0.25"/>
    <row r="2251" customFormat="1" ht="12.5" customHeight="1" x14ac:dyDescent="0.25"/>
    <row r="2252" customFormat="1" ht="12.5" customHeight="1" x14ac:dyDescent="0.25"/>
    <row r="2253" customFormat="1" ht="12.5" customHeight="1" x14ac:dyDescent="0.25"/>
    <row r="2254" customFormat="1" ht="12.5" customHeight="1" x14ac:dyDescent="0.25"/>
    <row r="2255" customFormat="1" ht="12.5" customHeight="1" x14ac:dyDescent="0.25"/>
    <row r="2256" customFormat="1" ht="12.5" customHeight="1" x14ac:dyDescent="0.25"/>
    <row r="2257" customFormat="1" ht="12.5" customHeight="1" x14ac:dyDescent="0.25"/>
    <row r="2258" customFormat="1" ht="12.5" customHeight="1" x14ac:dyDescent="0.25"/>
    <row r="2259" customFormat="1" ht="12.5" customHeight="1" x14ac:dyDescent="0.25"/>
    <row r="2260" customFormat="1" ht="12.5" customHeight="1" x14ac:dyDescent="0.25"/>
    <row r="2261" customFormat="1" ht="12.5" customHeight="1" x14ac:dyDescent="0.25"/>
    <row r="2262" customFormat="1" ht="12.5" customHeight="1" x14ac:dyDescent="0.25"/>
    <row r="2263" customFormat="1" ht="12.5" customHeight="1" x14ac:dyDescent="0.25"/>
    <row r="2264" customFormat="1" ht="12.5" customHeight="1" x14ac:dyDescent="0.25"/>
    <row r="2265" customFormat="1" ht="12.5" customHeight="1" x14ac:dyDescent="0.25"/>
    <row r="2266" customFormat="1" ht="12.5" customHeight="1" x14ac:dyDescent="0.25"/>
    <row r="2267" customFormat="1" ht="12.5" customHeight="1" x14ac:dyDescent="0.25"/>
    <row r="2268" customFormat="1" ht="12.5" customHeight="1" x14ac:dyDescent="0.25"/>
    <row r="2269" customFormat="1" ht="12.5" customHeight="1" x14ac:dyDescent="0.25"/>
    <row r="2270" customFormat="1" ht="12.5" customHeight="1" x14ac:dyDescent="0.25"/>
    <row r="2271" customFormat="1" ht="12.5" customHeight="1" x14ac:dyDescent="0.25"/>
    <row r="2272" customFormat="1" ht="12.5" customHeight="1" x14ac:dyDescent="0.25"/>
    <row r="2273" customFormat="1" ht="12.5" customHeight="1" x14ac:dyDescent="0.25"/>
    <row r="2274" customFormat="1" ht="12.5" customHeight="1" x14ac:dyDescent="0.25"/>
    <row r="2275" customFormat="1" ht="12.5" customHeight="1" x14ac:dyDescent="0.25"/>
    <row r="2276" customFormat="1" ht="12.5" customHeight="1" x14ac:dyDescent="0.25"/>
    <row r="2277" customFormat="1" ht="12.5" customHeight="1" x14ac:dyDescent="0.25"/>
    <row r="2278" customFormat="1" ht="12.5" customHeight="1" x14ac:dyDescent="0.25"/>
    <row r="2279" customFormat="1" ht="12.5" customHeight="1" x14ac:dyDescent="0.25"/>
    <row r="2280" customFormat="1" ht="12.5" customHeight="1" x14ac:dyDescent="0.25"/>
    <row r="2281" customFormat="1" ht="12.5" customHeight="1" x14ac:dyDescent="0.25"/>
    <row r="2282" customFormat="1" ht="12.5" customHeight="1" x14ac:dyDescent="0.25"/>
    <row r="2283" customFormat="1" ht="12.5" customHeight="1" x14ac:dyDescent="0.25"/>
    <row r="2284" customFormat="1" ht="12.5" customHeight="1" x14ac:dyDescent="0.25"/>
    <row r="2285" customFormat="1" ht="12.5" customHeight="1" x14ac:dyDescent="0.25"/>
    <row r="2286" customFormat="1" ht="12.5" customHeight="1" x14ac:dyDescent="0.25"/>
    <row r="2287" customFormat="1" ht="12.5" customHeight="1" x14ac:dyDescent="0.25"/>
    <row r="2288" customFormat="1" ht="12.5" customHeight="1" x14ac:dyDescent="0.25"/>
    <row r="2289" customFormat="1" ht="12.5" customHeight="1" x14ac:dyDescent="0.25"/>
    <row r="2290" customFormat="1" ht="12.5" customHeight="1" x14ac:dyDescent="0.25"/>
    <row r="2291" customFormat="1" ht="12.5" customHeight="1" x14ac:dyDescent="0.25"/>
    <row r="2292" customFormat="1" ht="12.5" customHeight="1" x14ac:dyDescent="0.25"/>
    <row r="2293" customFormat="1" ht="12.5" customHeight="1" x14ac:dyDescent="0.25"/>
    <row r="2294" customFormat="1" ht="12.5" customHeight="1" x14ac:dyDescent="0.25"/>
    <row r="2295" customFormat="1" ht="12.5" customHeight="1" x14ac:dyDescent="0.25"/>
    <row r="2296" customFormat="1" ht="12.5" customHeight="1" x14ac:dyDescent="0.25"/>
    <row r="2297" customFormat="1" ht="12.5" customHeight="1" x14ac:dyDescent="0.25"/>
    <row r="2298" customFormat="1" ht="12.5" customHeight="1" x14ac:dyDescent="0.25"/>
    <row r="2299" customFormat="1" ht="12.5" customHeight="1" x14ac:dyDescent="0.25"/>
    <row r="2300" customFormat="1" ht="12.5" customHeight="1" x14ac:dyDescent="0.25"/>
    <row r="2301" customFormat="1" ht="12.5" customHeight="1" x14ac:dyDescent="0.25"/>
    <row r="2302" customFormat="1" ht="12.5" customHeight="1" x14ac:dyDescent="0.25"/>
    <row r="2303" customFormat="1" ht="12.5" customHeight="1" x14ac:dyDescent="0.25"/>
    <row r="2304" customFormat="1" ht="12.5" customHeight="1" x14ac:dyDescent="0.25"/>
    <row r="2305" customFormat="1" ht="12.5" customHeight="1" x14ac:dyDescent="0.25"/>
    <row r="2306" customFormat="1" ht="12.5" customHeight="1" x14ac:dyDescent="0.25"/>
    <row r="2307" customFormat="1" ht="12.5" customHeight="1" x14ac:dyDescent="0.25"/>
    <row r="2308" customFormat="1" ht="12.5" customHeight="1" x14ac:dyDescent="0.25"/>
    <row r="2309" customFormat="1" ht="12.5" customHeight="1" x14ac:dyDescent="0.25"/>
    <row r="2310" customFormat="1" ht="12.5" customHeight="1" x14ac:dyDescent="0.25"/>
    <row r="2311" customFormat="1" ht="12.5" customHeight="1" x14ac:dyDescent="0.25"/>
    <row r="2312" customFormat="1" ht="12.5" customHeight="1" x14ac:dyDescent="0.25"/>
    <row r="2313" customFormat="1" ht="12.5" customHeight="1" x14ac:dyDescent="0.25"/>
    <row r="2314" customFormat="1" ht="12.5" customHeight="1" x14ac:dyDescent="0.25"/>
    <row r="2315" customFormat="1" ht="12.5" customHeight="1" x14ac:dyDescent="0.25"/>
    <row r="2316" customFormat="1" ht="12.5" customHeight="1" x14ac:dyDescent="0.25"/>
    <row r="2317" customFormat="1" ht="12.5" customHeight="1" x14ac:dyDescent="0.25"/>
    <row r="2318" customFormat="1" ht="12.5" customHeight="1" x14ac:dyDescent="0.25"/>
    <row r="2319" customFormat="1" ht="12.5" customHeight="1" x14ac:dyDescent="0.25"/>
    <row r="2320" customFormat="1" ht="12.5" customHeight="1" x14ac:dyDescent="0.25"/>
    <row r="2321" customFormat="1" ht="12.5" customHeight="1" x14ac:dyDescent="0.25"/>
    <row r="2322" customFormat="1" ht="12.5" customHeight="1" x14ac:dyDescent="0.25"/>
    <row r="2323" customFormat="1" ht="12.5" customHeight="1" x14ac:dyDescent="0.25"/>
    <row r="2324" customFormat="1" ht="12.5" customHeight="1" x14ac:dyDescent="0.25"/>
    <row r="2325" customFormat="1" ht="12.5" customHeight="1" x14ac:dyDescent="0.25"/>
    <row r="2326" customFormat="1" ht="12.5" customHeight="1" x14ac:dyDescent="0.25"/>
    <row r="2327" customFormat="1" ht="12.5" customHeight="1" x14ac:dyDescent="0.25"/>
    <row r="2328" customFormat="1" ht="12.5" customHeight="1" x14ac:dyDescent="0.25"/>
    <row r="2329" customFormat="1" ht="12.5" customHeight="1" x14ac:dyDescent="0.25"/>
    <row r="2330" customFormat="1" ht="12.5" customHeight="1" x14ac:dyDescent="0.25"/>
    <row r="2331" customFormat="1" ht="12.5" customHeight="1" x14ac:dyDescent="0.25"/>
    <row r="2332" customFormat="1" ht="12.5" customHeight="1" x14ac:dyDescent="0.25"/>
    <row r="2333" customFormat="1" ht="12.5" customHeight="1" x14ac:dyDescent="0.25"/>
    <row r="2334" customFormat="1" ht="12.5" customHeight="1" x14ac:dyDescent="0.25"/>
    <row r="2335" customFormat="1" ht="12.5" customHeight="1" x14ac:dyDescent="0.25"/>
    <row r="2336" customFormat="1" ht="12.5" customHeight="1" x14ac:dyDescent="0.25"/>
    <row r="2337" customFormat="1" ht="12.5" customHeight="1" x14ac:dyDescent="0.25"/>
    <row r="2338" customFormat="1" ht="12.5" customHeight="1" x14ac:dyDescent="0.25"/>
    <row r="2339" customFormat="1" ht="12.5" customHeight="1" x14ac:dyDescent="0.25"/>
    <row r="2340" customFormat="1" ht="12.5" customHeight="1" x14ac:dyDescent="0.25"/>
    <row r="2341" customFormat="1" ht="12.5" customHeight="1" x14ac:dyDescent="0.25"/>
    <row r="2342" customFormat="1" ht="12.5" customHeight="1" x14ac:dyDescent="0.25"/>
    <row r="2343" customFormat="1" ht="12.5" customHeight="1" x14ac:dyDescent="0.25"/>
    <row r="2344" customFormat="1" ht="12.5" customHeight="1" x14ac:dyDescent="0.25"/>
    <row r="2345" customFormat="1" ht="12.5" customHeight="1" x14ac:dyDescent="0.25"/>
    <row r="2346" customFormat="1" ht="12.5" customHeight="1" x14ac:dyDescent="0.25"/>
    <row r="2347" customFormat="1" ht="12.5" customHeight="1" x14ac:dyDescent="0.25"/>
    <row r="2348" customFormat="1" ht="12.5" customHeight="1" x14ac:dyDescent="0.25"/>
    <row r="2349" customFormat="1" ht="12.5" customHeight="1" x14ac:dyDescent="0.25"/>
    <row r="2350" customFormat="1" ht="12.5" customHeight="1" x14ac:dyDescent="0.25"/>
    <row r="2351" customFormat="1" ht="12.5" customHeight="1" x14ac:dyDescent="0.25"/>
    <row r="2352" customFormat="1" ht="12.5" customHeight="1" x14ac:dyDescent="0.25"/>
    <row r="2353" customFormat="1" ht="12.5" customHeight="1" x14ac:dyDescent="0.25"/>
    <row r="2354" customFormat="1" ht="12.5" customHeight="1" x14ac:dyDescent="0.25"/>
    <row r="2355" customFormat="1" ht="12.5" customHeight="1" x14ac:dyDescent="0.25"/>
    <row r="2356" customFormat="1" ht="12.5" customHeight="1" x14ac:dyDescent="0.25"/>
    <row r="2357" customFormat="1" ht="12.5" customHeight="1" x14ac:dyDescent="0.25"/>
    <row r="2358" customFormat="1" ht="12.5" customHeight="1" x14ac:dyDescent="0.25"/>
    <row r="2359" customFormat="1" ht="12.5" customHeight="1" x14ac:dyDescent="0.25"/>
    <row r="2360" customFormat="1" ht="12.5" customHeight="1" x14ac:dyDescent="0.25"/>
    <row r="2361" customFormat="1" ht="12.5" customHeight="1" x14ac:dyDescent="0.25"/>
    <row r="2362" customFormat="1" ht="12.5" customHeight="1" x14ac:dyDescent="0.25"/>
    <row r="2363" customFormat="1" ht="12.5" customHeight="1" x14ac:dyDescent="0.25"/>
    <row r="2364" customFormat="1" ht="12.5" customHeight="1" x14ac:dyDescent="0.25"/>
    <row r="2365" customFormat="1" ht="12.5" customHeight="1" x14ac:dyDescent="0.25"/>
    <row r="2366" customFormat="1" ht="12.5" customHeight="1" x14ac:dyDescent="0.25"/>
    <row r="2367" customFormat="1" ht="12.5" customHeight="1" x14ac:dyDescent="0.25"/>
    <row r="2368" customFormat="1" ht="12.5" customHeight="1" x14ac:dyDescent="0.25"/>
    <row r="2369" customFormat="1" ht="12.5" customHeight="1" x14ac:dyDescent="0.25"/>
    <row r="2370" customFormat="1" ht="12.5" customHeight="1" x14ac:dyDescent="0.25"/>
    <row r="2371" customFormat="1" ht="12.5" customHeight="1" x14ac:dyDescent="0.25"/>
    <row r="2372" customFormat="1" ht="12.5" customHeight="1" x14ac:dyDescent="0.25"/>
    <row r="2373" customFormat="1" ht="12.5" customHeight="1" x14ac:dyDescent="0.25"/>
    <row r="2374" customFormat="1" ht="12.5" customHeight="1" x14ac:dyDescent="0.25"/>
    <row r="2375" customFormat="1" ht="12.5" customHeight="1" x14ac:dyDescent="0.25"/>
    <row r="2376" customFormat="1" ht="12.5" customHeight="1" x14ac:dyDescent="0.25"/>
    <row r="2377" customFormat="1" ht="12.5" customHeight="1" x14ac:dyDescent="0.25"/>
    <row r="2378" customFormat="1" ht="12.5" customHeight="1" x14ac:dyDescent="0.25"/>
    <row r="2379" customFormat="1" ht="12.5" customHeight="1" x14ac:dyDescent="0.25"/>
    <row r="2380" customFormat="1" ht="12.5" customHeight="1" x14ac:dyDescent="0.25"/>
    <row r="2381" customFormat="1" ht="12.5" customHeight="1" x14ac:dyDescent="0.25"/>
    <row r="2382" customFormat="1" ht="12.5" customHeight="1" x14ac:dyDescent="0.25"/>
    <row r="2383" customFormat="1" ht="12.5" customHeight="1" x14ac:dyDescent="0.25"/>
    <row r="2384" customFormat="1" ht="12.5" customHeight="1" x14ac:dyDescent="0.25"/>
    <row r="2385" customFormat="1" ht="12.5" customHeight="1" x14ac:dyDescent="0.25"/>
    <row r="2386" customFormat="1" ht="12.5" customHeight="1" x14ac:dyDescent="0.25"/>
    <row r="2387" customFormat="1" ht="12.5" customHeight="1" x14ac:dyDescent="0.25"/>
    <row r="2388" customFormat="1" ht="12.5" customHeight="1" x14ac:dyDescent="0.25"/>
    <row r="2389" customFormat="1" ht="12.5" customHeight="1" x14ac:dyDescent="0.25"/>
    <row r="2390" customFormat="1" ht="12.5" customHeight="1" x14ac:dyDescent="0.25"/>
    <row r="2391" customFormat="1" ht="12.5" customHeight="1" x14ac:dyDescent="0.25"/>
    <row r="2392" customFormat="1" ht="12.5" customHeight="1" x14ac:dyDescent="0.25"/>
    <row r="2393" customFormat="1" ht="12.5" customHeight="1" x14ac:dyDescent="0.25"/>
    <row r="2394" customFormat="1" ht="12.5" customHeight="1" x14ac:dyDescent="0.25"/>
    <row r="2395" customFormat="1" ht="12.5" customHeight="1" x14ac:dyDescent="0.25"/>
    <row r="2396" customFormat="1" ht="12.5" customHeight="1" x14ac:dyDescent="0.25"/>
    <row r="2397" customFormat="1" ht="12.5" customHeight="1" x14ac:dyDescent="0.25"/>
    <row r="2398" customFormat="1" ht="12.5" customHeight="1" x14ac:dyDescent="0.25"/>
    <row r="2399" customFormat="1" ht="12.5" customHeight="1" x14ac:dyDescent="0.25"/>
    <row r="2400" customFormat="1" ht="12.5" customHeight="1" x14ac:dyDescent="0.25"/>
    <row r="2401" customFormat="1" ht="12.5" customHeight="1" x14ac:dyDescent="0.25"/>
    <row r="2402" customFormat="1" ht="12.5" customHeight="1" x14ac:dyDescent="0.25"/>
    <row r="2403" customFormat="1" ht="12.5" customHeight="1" x14ac:dyDescent="0.25"/>
    <row r="2404" customFormat="1" ht="12.5" customHeight="1" x14ac:dyDescent="0.25"/>
    <row r="2405" customFormat="1" ht="12.5" customHeight="1" x14ac:dyDescent="0.25"/>
    <row r="2406" customFormat="1" ht="12.5" customHeight="1" x14ac:dyDescent="0.25"/>
    <row r="2407" customFormat="1" ht="12.5" customHeight="1" x14ac:dyDescent="0.25"/>
    <row r="2408" customFormat="1" ht="12.5" customHeight="1" x14ac:dyDescent="0.25"/>
    <row r="2409" customFormat="1" ht="12.5" customHeight="1" x14ac:dyDescent="0.25"/>
    <row r="2410" customFormat="1" ht="12.5" customHeight="1" x14ac:dyDescent="0.25"/>
    <row r="2411" customFormat="1" ht="12.5" customHeight="1" x14ac:dyDescent="0.25"/>
    <row r="2412" customFormat="1" ht="12.5" customHeight="1" x14ac:dyDescent="0.25"/>
    <row r="2413" customFormat="1" ht="12.5" customHeight="1" x14ac:dyDescent="0.25"/>
    <row r="2414" customFormat="1" ht="12.5" customHeight="1" x14ac:dyDescent="0.25"/>
    <row r="2415" customFormat="1" ht="12.5" customHeight="1" x14ac:dyDescent="0.25"/>
    <row r="2416" customFormat="1" ht="12.5" customHeight="1" x14ac:dyDescent="0.25"/>
    <row r="2417" customFormat="1" ht="12.5" customHeight="1" x14ac:dyDescent="0.25"/>
    <row r="2418" customFormat="1" ht="12.5" customHeight="1" x14ac:dyDescent="0.25"/>
    <row r="2419" customFormat="1" ht="12.5" customHeight="1" x14ac:dyDescent="0.25"/>
    <row r="2420" customFormat="1" ht="12.5" customHeight="1" x14ac:dyDescent="0.25"/>
    <row r="2421" customFormat="1" ht="12.5" customHeight="1" x14ac:dyDescent="0.25"/>
    <row r="2422" customFormat="1" ht="12.5" customHeight="1" x14ac:dyDescent="0.25"/>
    <row r="2423" customFormat="1" ht="12.5" customHeight="1" x14ac:dyDescent="0.25"/>
    <row r="2424" customFormat="1" ht="12.5" customHeight="1" x14ac:dyDescent="0.25"/>
    <row r="2425" customFormat="1" ht="12.5" customHeight="1" x14ac:dyDescent="0.25"/>
    <row r="2426" customFormat="1" ht="12.5" customHeight="1" x14ac:dyDescent="0.25"/>
    <row r="2427" customFormat="1" ht="12.5" customHeight="1" x14ac:dyDescent="0.25"/>
    <row r="2428" customFormat="1" ht="12.5" customHeight="1" x14ac:dyDescent="0.25"/>
    <row r="2429" customFormat="1" ht="12.5" customHeight="1" x14ac:dyDescent="0.25"/>
    <row r="2430" customFormat="1" ht="12.5" customHeight="1" x14ac:dyDescent="0.25"/>
    <row r="2431" customFormat="1" ht="12.5" customHeight="1" x14ac:dyDescent="0.25"/>
    <row r="2432" customFormat="1" ht="12.5" customHeight="1" x14ac:dyDescent="0.25"/>
    <row r="2433" customFormat="1" ht="12.5" customHeight="1" x14ac:dyDescent="0.25"/>
    <row r="2434" customFormat="1" ht="12.5" customHeight="1" x14ac:dyDescent="0.25"/>
    <row r="2435" customFormat="1" ht="12.5" customHeight="1" x14ac:dyDescent="0.25"/>
    <row r="2436" customFormat="1" ht="12.5" customHeight="1" x14ac:dyDescent="0.25"/>
    <row r="2437" customFormat="1" ht="12.5" customHeight="1" x14ac:dyDescent="0.25"/>
    <row r="2438" customFormat="1" ht="12.5" customHeight="1" x14ac:dyDescent="0.25"/>
    <row r="2439" customFormat="1" ht="12.5" customHeight="1" x14ac:dyDescent="0.25"/>
    <row r="2440" customFormat="1" ht="12.5" customHeight="1" x14ac:dyDescent="0.25"/>
    <row r="2441" customFormat="1" ht="12.5" customHeight="1" x14ac:dyDescent="0.25"/>
    <row r="2442" customFormat="1" ht="12.5" customHeight="1" x14ac:dyDescent="0.25"/>
    <row r="2443" customFormat="1" ht="12.5" customHeight="1" x14ac:dyDescent="0.25"/>
    <row r="2444" customFormat="1" ht="12.5" customHeight="1" x14ac:dyDescent="0.25"/>
    <row r="2445" customFormat="1" ht="12.5" customHeight="1" x14ac:dyDescent="0.25"/>
    <row r="2446" customFormat="1" ht="12.5" customHeight="1" x14ac:dyDescent="0.25"/>
    <row r="2447" customFormat="1" ht="12.5" customHeight="1" x14ac:dyDescent="0.25"/>
    <row r="2448" customFormat="1" ht="12.5" customHeight="1" x14ac:dyDescent="0.25"/>
    <row r="2449" customFormat="1" ht="12.5" customHeight="1" x14ac:dyDescent="0.25"/>
    <row r="2450" customFormat="1" ht="12.5" customHeight="1" x14ac:dyDescent="0.25"/>
    <row r="2451" customFormat="1" ht="12.5" customHeight="1" x14ac:dyDescent="0.25"/>
    <row r="2452" customFormat="1" ht="12.5" customHeight="1" x14ac:dyDescent="0.25"/>
    <row r="2453" customFormat="1" ht="12.5" customHeight="1" x14ac:dyDescent="0.25"/>
    <row r="2454" customFormat="1" ht="12.5" customHeight="1" x14ac:dyDescent="0.25"/>
    <row r="2455" customFormat="1" ht="12.5" customHeight="1" x14ac:dyDescent="0.25"/>
    <row r="2456" customFormat="1" ht="12.5" customHeight="1" x14ac:dyDescent="0.25"/>
    <row r="2457" customFormat="1" ht="12.5" customHeight="1" x14ac:dyDescent="0.25"/>
    <row r="2458" customFormat="1" ht="12.5" customHeight="1" x14ac:dyDescent="0.25"/>
    <row r="2459" customFormat="1" ht="12.5" customHeight="1" x14ac:dyDescent="0.25"/>
    <row r="2460" customFormat="1" ht="12.5" customHeight="1" x14ac:dyDescent="0.25"/>
    <row r="2461" customFormat="1" ht="12.5" customHeight="1" x14ac:dyDescent="0.25"/>
    <row r="2462" customFormat="1" ht="12.5" customHeight="1" x14ac:dyDescent="0.25"/>
    <row r="2463" customFormat="1" ht="12.5" customHeight="1" x14ac:dyDescent="0.25"/>
    <row r="2464" customFormat="1" ht="12.5" customHeight="1" x14ac:dyDescent="0.25"/>
    <row r="2465" customFormat="1" ht="12.5" customHeight="1" x14ac:dyDescent="0.25"/>
    <row r="2466" customFormat="1" ht="12.5" customHeight="1" x14ac:dyDescent="0.25"/>
    <row r="2467" customFormat="1" ht="12.5" customHeight="1" x14ac:dyDescent="0.25"/>
    <row r="2468" customFormat="1" ht="12.5" customHeight="1" x14ac:dyDescent="0.25"/>
    <row r="2469" customFormat="1" ht="12.5" customHeight="1" x14ac:dyDescent="0.25"/>
    <row r="2470" customFormat="1" ht="12.5" customHeight="1" x14ac:dyDescent="0.25"/>
    <row r="2471" customFormat="1" ht="12.5" customHeight="1" x14ac:dyDescent="0.25"/>
    <row r="2472" customFormat="1" ht="12.5" customHeight="1" x14ac:dyDescent="0.25"/>
    <row r="2473" customFormat="1" ht="12.5" customHeight="1" x14ac:dyDescent="0.25"/>
    <row r="2474" customFormat="1" ht="12.5" customHeight="1" x14ac:dyDescent="0.25"/>
    <row r="2475" customFormat="1" ht="12.5" customHeight="1" x14ac:dyDescent="0.25"/>
    <row r="2476" customFormat="1" ht="12.5" customHeight="1" x14ac:dyDescent="0.25"/>
    <row r="2477" customFormat="1" ht="12.5" customHeight="1" x14ac:dyDescent="0.25"/>
    <row r="2478" customFormat="1" ht="12.5" customHeight="1" x14ac:dyDescent="0.25"/>
    <row r="2479" customFormat="1" ht="12.5" customHeight="1" x14ac:dyDescent="0.25"/>
    <row r="2480" customFormat="1" ht="12.5" customHeight="1" x14ac:dyDescent="0.25"/>
    <row r="2481" customFormat="1" ht="12.5" customHeight="1" x14ac:dyDescent="0.25"/>
    <row r="2482" customFormat="1" ht="12.5" customHeight="1" x14ac:dyDescent="0.25"/>
    <row r="2483" customFormat="1" ht="12.5" customHeight="1" x14ac:dyDescent="0.25"/>
    <row r="2484" customFormat="1" ht="12.5" customHeight="1" x14ac:dyDescent="0.25"/>
    <row r="2485" customFormat="1" ht="12.5" customHeight="1" x14ac:dyDescent="0.25"/>
    <row r="2486" customFormat="1" ht="12.5" customHeight="1" x14ac:dyDescent="0.25"/>
    <row r="2487" customFormat="1" ht="12.5" customHeight="1" x14ac:dyDescent="0.25"/>
    <row r="2488" customFormat="1" ht="12.5" customHeight="1" x14ac:dyDescent="0.25"/>
    <row r="2489" customFormat="1" ht="12.5" customHeight="1" x14ac:dyDescent="0.25"/>
    <row r="2490" customFormat="1" ht="12.5" customHeight="1" x14ac:dyDescent="0.25"/>
    <row r="2491" customFormat="1" ht="12.5" customHeight="1" x14ac:dyDescent="0.25"/>
    <row r="2492" customFormat="1" ht="12.5" customHeight="1" x14ac:dyDescent="0.25"/>
    <row r="2493" customFormat="1" ht="12.5" customHeight="1" x14ac:dyDescent="0.25"/>
    <row r="2494" customFormat="1" ht="12.5" customHeight="1" x14ac:dyDescent="0.25"/>
    <row r="2495" customFormat="1" ht="12.5" customHeight="1" x14ac:dyDescent="0.25"/>
    <row r="2496" customFormat="1" ht="12.5" customHeight="1" x14ac:dyDescent="0.25"/>
    <row r="2497" customFormat="1" ht="12.5" customHeight="1" x14ac:dyDescent="0.25"/>
    <row r="2498" customFormat="1" ht="12.5" customHeight="1" x14ac:dyDescent="0.25"/>
    <row r="2499" customFormat="1" ht="12.5" customHeight="1" x14ac:dyDescent="0.25"/>
    <row r="2500" customFormat="1" ht="12.5" customHeight="1" x14ac:dyDescent="0.25"/>
    <row r="2501" customFormat="1" ht="12.5" customHeight="1" x14ac:dyDescent="0.25"/>
    <row r="2502" customFormat="1" ht="12.5" customHeight="1" x14ac:dyDescent="0.25"/>
    <row r="2503" customFormat="1" ht="12.5" customHeight="1" x14ac:dyDescent="0.25"/>
    <row r="2504" customFormat="1" ht="12.5" customHeight="1" x14ac:dyDescent="0.25"/>
    <row r="2505" customFormat="1" ht="12.5" customHeight="1" x14ac:dyDescent="0.25"/>
    <row r="2506" customFormat="1" ht="12.5" customHeight="1" x14ac:dyDescent="0.25"/>
    <row r="2507" customFormat="1" ht="12.5" customHeight="1" x14ac:dyDescent="0.25"/>
    <row r="2508" customFormat="1" ht="12.5" customHeight="1" x14ac:dyDescent="0.25"/>
    <row r="2509" customFormat="1" ht="12.5" customHeight="1" x14ac:dyDescent="0.25"/>
    <row r="2510" customFormat="1" ht="12.5" customHeight="1" x14ac:dyDescent="0.25"/>
    <row r="2511" customFormat="1" ht="12.5" customHeight="1" x14ac:dyDescent="0.25"/>
    <row r="2512" customFormat="1" ht="12.5" customHeight="1" x14ac:dyDescent="0.25"/>
    <row r="2513" customFormat="1" ht="12.5" customHeight="1" x14ac:dyDescent="0.25"/>
    <row r="2514" customFormat="1" ht="12.5" customHeight="1" x14ac:dyDescent="0.25"/>
    <row r="2515" customFormat="1" ht="12.5" customHeight="1" x14ac:dyDescent="0.25"/>
    <row r="2516" customFormat="1" ht="12.5" customHeight="1" x14ac:dyDescent="0.25"/>
    <row r="2517" customFormat="1" ht="12.5" customHeight="1" x14ac:dyDescent="0.25"/>
    <row r="2518" customFormat="1" ht="12.5" customHeight="1" x14ac:dyDescent="0.25"/>
    <row r="2519" customFormat="1" ht="12.5" customHeight="1" x14ac:dyDescent="0.25"/>
    <row r="2520" customFormat="1" ht="12.5" customHeight="1" x14ac:dyDescent="0.25"/>
    <row r="2521" customFormat="1" ht="12.5" customHeight="1" x14ac:dyDescent="0.25"/>
    <row r="2522" customFormat="1" ht="12.5" customHeight="1" x14ac:dyDescent="0.25"/>
    <row r="2523" customFormat="1" ht="12.5" customHeight="1" x14ac:dyDescent="0.25"/>
    <row r="2524" customFormat="1" ht="12.5" customHeight="1" x14ac:dyDescent="0.25"/>
    <row r="2525" customFormat="1" ht="12.5" customHeight="1" x14ac:dyDescent="0.25"/>
    <row r="2526" customFormat="1" ht="12.5" customHeight="1" x14ac:dyDescent="0.25"/>
    <row r="2527" customFormat="1" ht="12.5" customHeight="1" x14ac:dyDescent="0.25"/>
    <row r="2528" customFormat="1" ht="12.5" customHeight="1" x14ac:dyDescent="0.25"/>
    <row r="2529" customFormat="1" ht="12.5" customHeight="1" x14ac:dyDescent="0.25"/>
    <row r="2530" customFormat="1" ht="12.5" customHeight="1" x14ac:dyDescent="0.25"/>
    <row r="2531" customFormat="1" ht="12.5" customHeight="1" x14ac:dyDescent="0.25"/>
    <row r="2532" customFormat="1" ht="12.5" customHeight="1" x14ac:dyDescent="0.25"/>
    <row r="2533" customFormat="1" ht="12.5" customHeight="1" x14ac:dyDescent="0.25"/>
    <row r="2534" customFormat="1" ht="12.5" customHeight="1" x14ac:dyDescent="0.25"/>
    <row r="2535" customFormat="1" ht="12.5" customHeight="1" x14ac:dyDescent="0.25"/>
    <row r="2536" customFormat="1" ht="12.5" customHeight="1" x14ac:dyDescent="0.25"/>
    <row r="2537" customFormat="1" ht="12.5" customHeight="1" x14ac:dyDescent="0.25"/>
    <row r="2538" customFormat="1" ht="12.5" customHeight="1" x14ac:dyDescent="0.25"/>
    <row r="2539" customFormat="1" ht="12.5" customHeight="1" x14ac:dyDescent="0.25"/>
    <row r="2540" customFormat="1" ht="12.5" customHeight="1" x14ac:dyDescent="0.25"/>
    <row r="2541" customFormat="1" ht="12.5" customHeight="1" x14ac:dyDescent="0.25"/>
    <row r="2542" customFormat="1" ht="12.5" customHeight="1" x14ac:dyDescent="0.25"/>
    <row r="2543" customFormat="1" ht="12.5" customHeight="1" x14ac:dyDescent="0.25"/>
    <row r="2544" customFormat="1" ht="12.5" customHeight="1" x14ac:dyDescent="0.25"/>
    <row r="2545" customFormat="1" ht="12.5" customHeight="1" x14ac:dyDescent="0.25"/>
    <row r="2546" customFormat="1" ht="12.5" customHeight="1" x14ac:dyDescent="0.25"/>
    <row r="2547" customFormat="1" ht="12.5" customHeight="1" x14ac:dyDescent="0.25"/>
    <row r="2548" customFormat="1" ht="12.5" customHeight="1" x14ac:dyDescent="0.25"/>
    <row r="2549" customFormat="1" ht="12.5" customHeight="1" x14ac:dyDescent="0.25"/>
    <row r="2550" customFormat="1" ht="12.5" customHeight="1" x14ac:dyDescent="0.25"/>
    <row r="2551" customFormat="1" ht="12.5" customHeight="1" x14ac:dyDescent="0.25"/>
    <row r="2552" customFormat="1" ht="12.5" customHeight="1" x14ac:dyDescent="0.25"/>
    <row r="2553" customFormat="1" ht="12.5" customHeight="1" x14ac:dyDescent="0.25"/>
    <row r="2554" customFormat="1" ht="12.5" customHeight="1" x14ac:dyDescent="0.25"/>
    <row r="2555" customFormat="1" ht="12.5" customHeight="1" x14ac:dyDescent="0.25"/>
    <row r="2556" customFormat="1" ht="12.5" customHeight="1" x14ac:dyDescent="0.25"/>
    <row r="2557" customFormat="1" ht="12.5" customHeight="1" x14ac:dyDescent="0.25"/>
    <row r="2558" customFormat="1" ht="12.5" customHeight="1" x14ac:dyDescent="0.25"/>
    <row r="2559" customFormat="1" ht="12.5" customHeight="1" x14ac:dyDescent="0.25"/>
    <row r="2560" customFormat="1" ht="12.5" customHeight="1" x14ac:dyDescent="0.25"/>
    <row r="2561" customFormat="1" ht="12.5" customHeight="1" x14ac:dyDescent="0.25"/>
    <row r="2562" customFormat="1" ht="12.5" customHeight="1" x14ac:dyDescent="0.25"/>
    <row r="2563" customFormat="1" ht="12.5" customHeight="1" x14ac:dyDescent="0.25"/>
    <row r="2564" customFormat="1" ht="12.5" customHeight="1" x14ac:dyDescent="0.25"/>
    <row r="2565" customFormat="1" ht="12.5" customHeight="1" x14ac:dyDescent="0.25"/>
    <row r="2566" customFormat="1" ht="12.5" customHeight="1" x14ac:dyDescent="0.25"/>
    <row r="2567" customFormat="1" ht="12.5" customHeight="1" x14ac:dyDescent="0.25"/>
    <row r="2568" customFormat="1" ht="12.5" customHeight="1" x14ac:dyDescent="0.25"/>
    <row r="2569" customFormat="1" ht="12.5" customHeight="1" x14ac:dyDescent="0.25"/>
    <row r="2570" customFormat="1" ht="12.5" customHeight="1" x14ac:dyDescent="0.25"/>
    <row r="2571" customFormat="1" ht="12.5" customHeight="1" x14ac:dyDescent="0.25"/>
    <row r="2572" customFormat="1" ht="12.5" customHeight="1" x14ac:dyDescent="0.25"/>
    <row r="2573" customFormat="1" ht="12.5" customHeight="1" x14ac:dyDescent="0.25"/>
    <row r="2574" customFormat="1" ht="12.5" customHeight="1" x14ac:dyDescent="0.25"/>
    <row r="2575" customFormat="1" ht="12.5" customHeight="1" x14ac:dyDescent="0.25"/>
    <row r="2576" customFormat="1" ht="12.5" customHeight="1" x14ac:dyDescent="0.25"/>
    <row r="2577" customFormat="1" ht="12.5" customHeight="1" x14ac:dyDescent="0.25"/>
    <row r="2578" customFormat="1" ht="12.5" customHeight="1" x14ac:dyDescent="0.25"/>
    <row r="2579" customFormat="1" ht="12.5" customHeight="1" x14ac:dyDescent="0.25"/>
    <row r="2580" customFormat="1" ht="12.5" customHeight="1" x14ac:dyDescent="0.25"/>
    <row r="2581" customFormat="1" ht="12.5" customHeight="1" x14ac:dyDescent="0.25"/>
    <row r="2582" customFormat="1" ht="12.5" customHeight="1" x14ac:dyDescent="0.25"/>
    <row r="2583" customFormat="1" ht="12.5" customHeight="1" x14ac:dyDescent="0.25"/>
    <row r="2584" customFormat="1" ht="12.5" customHeight="1" x14ac:dyDescent="0.25"/>
    <row r="2585" customFormat="1" ht="12.5" customHeight="1" x14ac:dyDescent="0.25"/>
    <row r="2586" customFormat="1" ht="12.5" customHeight="1" x14ac:dyDescent="0.25"/>
    <row r="2587" customFormat="1" ht="12.5" customHeight="1" x14ac:dyDescent="0.25"/>
    <row r="2588" customFormat="1" ht="12.5" customHeight="1" x14ac:dyDescent="0.25"/>
    <row r="2589" customFormat="1" ht="12.5" customHeight="1" x14ac:dyDescent="0.25"/>
    <row r="2590" customFormat="1" ht="12.5" customHeight="1" x14ac:dyDescent="0.25"/>
    <row r="2591" customFormat="1" ht="12.5" customHeight="1" x14ac:dyDescent="0.25"/>
    <row r="2592" customFormat="1" ht="12.5" customHeight="1" x14ac:dyDescent="0.25"/>
    <row r="2593" customFormat="1" ht="12.5" customHeight="1" x14ac:dyDescent="0.25"/>
    <row r="2594" customFormat="1" ht="12.5" customHeight="1" x14ac:dyDescent="0.25"/>
    <row r="2595" customFormat="1" ht="12.5" customHeight="1" x14ac:dyDescent="0.25"/>
    <row r="2596" customFormat="1" ht="12.5" customHeight="1" x14ac:dyDescent="0.25"/>
    <row r="2597" customFormat="1" ht="12.5" customHeight="1" x14ac:dyDescent="0.25"/>
    <row r="2598" customFormat="1" ht="12.5" customHeight="1" x14ac:dyDescent="0.25"/>
    <row r="2599" customFormat="1" ht="12.5" customHeight="1" x14ac:dyDescent="0.25"/>
    <row r="2600" customFormat="1" ht="12.5" customHeight="1" x14ac:dyDescent="0.25"/>
    <row r="2601" customFormat="1" ht="12.5" customHeight="1" x14ac:dyDescent="0.25"/>
    <row r="2602" customFormat="1" ht="12.5" customHeight="1" x14ac:dyDescent="0.25"/>
    <row r="2603" customFormat="1" ht="12.5" customHeight="1" x14ac:dyDescent="0.25"/>
    <row r="2604" customFormat="1" ht="12.5" customHeight="1" x14ac:dyDescent="0.25"/>
    <row r="2605" customFormat="1" ht="12.5" customHeight="1" x14ac:dyDescent="0.25"/>
    <row r="2606" customFormat="1" ht="12.5" customHeight="1" x14ac:dyDescent="0.25"/>
    <row r="2607" customFormat="1" ht="12.5" customHeight="1" x14ac:dyDescent="0.25"/>
    <row r="2608" customFormat="1" ht="12.5" customHeight="1" x14ac:dyDescent="0.25"/>
    <row r="2609" customFormat="1" ht="12.5" customHeight="1" x14ac:dyDescent="0.25"/>
    <row r="2610" customFormat="1" ht="12.5" customHeight="1" x14ac:dyDescent="0.25"/>
    <row r="2611" customFormat="1" ht="12.5" customHeight="1" x14ac:dyDescent="0.25"/>
    <row r="2612" customFormat="1" ht="12.5" customHeight="1" x14ac:dyDescent="0.25"/>
    <row r="2613" customFormat="1" ht="12.5" customHeight="1" x14ac:dyDescent="0.25"/>
    <row r="2614" customFormat="1" ht="12.5" customHeight="1" x14ac:dyDescent="0.25"/>
    <row r="2615" customFormat="1" ht="12.5" customHeight="1" x14ac:dyDescent="0.25"/>
    <row r="2616" customFormat="1" ht="12.5" customHeight="1" x14ac:dyDescent="0.25"/>
    <row r="2617" customFormat="1" ht="12.5" customHeight="1" x14ac:dyDescent="0.25"/>
    <row r="2618" customFormat="1" ht="12.5" customHeight="1" x14ac:dyDescent="0.25"/>
    <row r="2619" customFormat="1" ht="12.5" customHeight="1" x14ac:dyDescent="0.25"/>
    <row r="2620" customFormat="1" ht="12.5" customHeight="1" x14ac:dyDescent="0.25"/>
    <row r="2621" customFormat="1" ht="12.5" customHeight="1" x14ac:dyDescent="0.25"/>
    <row r="2622" customFormat="1" ht="12.5" customHeight="1" x14ac:dyDescent="0.25"/>
    <row r="2623" customFormat="1" ht="12.5" customHeight="1" x14ac:dyDescent="0.25"/>
    <row r="2624" customFormat="1" ht="12.5" customHeight="1" x14ac:dyDescent="0.25"/>
    <row r="2625" customFormat="1" ht="12.5" customHeight="1" x14ac:dyDescent="0.25"/>
    <row r="2626" customFormat="1" ht="12.5" customHeight="1" x14ac:dyDescent="0.25"/>
    <row r="2627" customFormat="1" ht="12.5" customHeight="1" x14ac:dyDescent="0.25"/>
    <row r="2628" customFormat="1" ht="12.5" customHeight="1" x14ac:dyDescent="0.25"/>
    <row r="2629" customFormat="1" ht="12.5" customHeight="1" x14ac:dyDescent="0.25"/>
    <row r="2630" customFormat="1" ht="12.5" customHeight="1" x14ac:dyDescent="0.25"/>
    <row r="2631" customFormat="1" ht="12.5" customHeight="1" x14ac:dyDescent="0.25"/>
    <row r="2632" customFormat="1" ht="12.5" customHeight="1" x14ac:dyDescent="0.25"/>
    <row r="2633" customFormat="1" ht="12.5" customHeight="1" x14ac:dyDescent="0.25"/>
    <row r="2634" customFormat="1" ht="12.5" customHeight="1" x14ac:dyDescent="0.25"/>
    <row r="2635" customFormat="1" ht="12.5" customHeight="1" x14ac:dyDescent="0.25"/>
    <row r="2636" customFormat="1" ht="12.5" customHeight="1" x14ac:dyDescent="0.25"/>
    <row r="2637" customFormat="1" ht="12.5" customHeight="1" x14ac:dyDescent="0.25"/>
    <row r="2638" customFormat="1" ht="12.5" customHeight="1" x14ac:dyDescent="0.25"/>
    <row r="2639" customFormat="1" ht="12.5" customHeight="1" x14ac:dyDescent="0.25"/>
    <row r="2640" customFormat="1" ht="12.5" customHeight="1" x14ac:dyDescent="0.25"/>
    <row r="2641" customFormat="1" ht="12.5" customHeight="1" x14ac:dyDescent="0.25"/>
    <row r="2642" customFormat="1" ht="12.5" customHeight="1" x14ac:dyDescent="0.25"/>
    <row r="2643" customFormat="1" ht="12.5" customHeight="1" x14ac:dyDescent="0.25"/>
    <row r="2644" customFormat="1" ht="12.5" customHeight="1" x14ac:dyDescent="0.25"/>
    <row r="2645" customFormat="1" ht="12.5" customHeight="1" x14ac:dyDescent="0.25"/>
    <row r="2646" customFormat="1" ht="12.5" customHeight="1" x14ac:dyDescent="0.25"/>
    <row r="2647" customFormat="1" ht="12.5" customHeight="1" x14ac:dyDescent="0.25"/>
    <row r="2648" customFormat="1" ht="12.5" customHeight="1" x14ac:dyDescent="0.25"/>
    <row r="2649" customFormat="1" ht="12.5" customHeight="1" x14ac:dyDescent="0.25"/>
    <row r="2650" customFormat="1" ht="12.5" customHeight="1" x14ac:dyDescent="0.25"/>
    <row r="2651" customFormat="1" ht="12.5" customHeight="1" x14ac:dyDescent="0.25"/>
    <row r="2652" customFormat="1" ht="12.5" customHeight="1" x14ac:dyDescent="0.25"/>
    <row r="2653" customFormat="1" ht="12.5" customHeight="1" x14ac:dyDescent="0.25"/>
    <row r="2654" customFormat="1" ht="12.5" customHeight="1" x14ac:dyDescent="0.25"/>
    <row r="2655" customFormat="1" ht="12.5" customHeight="1" x14ac:dyDescent="0.25"/>
    <row r="2656" customFormat="1" ht="12.5" customHeight="1" x14ac:dyDescent="0.25"/>
    <row r="2657" customFormat="1" ht="12.5" customHeight="1" x14ac:dyDescent="0.25"/>
    <row r="2658" customFormat="1" ht="12.5" customHeight="1" x14ac:dyDescent="0.25"/>
    <row r="2659" customFormat="1" ht="12.5" customHeight="1" x14ac:dyDescent="0.25"/>
    <row r="2660" customFormat="1" ht="12.5" customHeight="1" x14ac:dyDescent="0.25"/>
    <row r="2661" customFormat="1" ht="12.5" customHeight="1" x14ac:dyDescent="0.25"/>
    <row r="2662" customFormat="1" ht="12.5" customHeight="1" x14ac:dyDescent="0.25"/>
    <row r="2663" customFormat="1" ht="12.5" customHeight="1" x14ac:dyDescent="0.25"/>
    <row r="2664" customFormat="1" ht="12.5" customHeight="1" x14ac:dyDescent="0.25"/>
    <row r="2665" customFormat="1" ht="12.5" customHeight="1" x14ac:dyDescent="0.25"/>
    <row r="2666" customFormat="1" ht="12.5" customHeight="1" x14ac:dyDescent="0.25"/>
    <row r="2667" customFormat="1" ht="12.5" customHeight="1" x14ac:dyDescent="0.25"/>
    <row r="2668" customFormat="1" ht="12.5" customHeight="1" x14ac:dyDescent="0.25"/>
    <row r="2669" customFormat="1" ht="12.5" customHeight="1" x14ac:dyDescent="0.25"/>
    <row r="2670" customFormat="1" ht="12.5" customHeight="1" x14ac:dyDescent="0.25"/>
    <row r="2671" customFormat="1" ht="12.5" customHeight="1" x14ac:dyDescent="0.25"/>
    <row r="2672" customFormat="1" ht="12.5" customHeight="1" x14ac:dyDescent="0.25"/>
    <row r="2673" customFormat="1" ht="12.5" customHeight="1" x14ac:dyDescent="0.25"/>
    <row r="2674" customFormat="1" ht="12.5" customHeight="1" x14ac:dyDescent="0.25"/>
    <row r="2675" customFormat="1" ht="12.5" customHeight="1" x14ac:dyDescent="0.25"/>
    <row r="2676" customFormat="1" ht="12.5" customHeight="1" x14ac:dyDescent="0.25"/>
    <row r="2677" customFormat="1" ht="12.5" customHeight="1" x14ac:dyDescent="0.25"/>
    <row r="2678" customFormat="1" ht="12.5" customHeight="1" x14ac:dyDescent="0.25"/>
    <row r="2679" customFormat="1" ht="12.5" customHeight="1" x14ac:dyDescent="0.25"/>
    <row r="2680" customFormat="1" ht="12.5" customHeight="1" x14ac:dyDescent="0.25"/>
    <row r="2681" customFormat="1" ht="12.5" customHeight="1" x14ac:dyDescent="0.25"/>
    <row r="2682" customFormat="1" ht="12.5" customHeight="1" x14ac:dyDescent="0.25"/>
    <row r="2683" customFormat="1" ht="12.5" customHeight="1" x14ac:dyDescent="0.25"/>
    <row r="2684" customFormat="1" ht="12.5" customHeight="1" x14ac:dyDescent="0.25"/>
    <row r="2685" customFormat="1" ht="12.5" customHeight="1" x14ac:dyDescent="0.25"/>
    <row r="2686" customFormat="1" ht="12.5" customHeight="1" x14ac:dyDescent="0.25"/>
    <row r="2687" customFormat="1" ht="12.5" customHeight="1" x14ac:dyDescent="0.25"/>
    <row r="2688" customFormat="1" ht="12.5" customHeight="1" x14ac:dyDescent="0.25"/>
    <row r="2689" customFormat="1" ht="12.5" customHeight="1" x14ac:dyDescent="0.25"/>
    <row r="2690" customFormat="1" ht="12.5" customHeight="1" x14ac:dyDescent="0.25"/>
    <row r="2691" customFormat="1" ht="12.5" customHeight="1" x14ac:dyDescent="0.25"/>
    <row r="2692" customFormat="1" ht="12.5" customHeight="1" x14ac:dyDescent="0.25"/>
    <row r="2693" customFormat="1" ht="12.5" customHeight="1" x14ac:dyDescent="0.25"/>
    <row r="2694" customFormat="1" ht="12.5" customHeight="1" x14ac:dyDescent="0.25"/>
    <row r="2695" customFormat="1" ht="12.5" customHeight="1" x14ac:dyDescent="0.25"/>
    <row r="2696" customFormat="1" ht="12.5" customHeight="1" x14ac:dyDescent="0.25"/>
    <row r="2697" customFormat="1" ht="12.5" customHeight="1" x14ac:dyDescent="0.25"/>
    <row r="2698" customFormat="1" ht="12.5" customHeight="1" x14ac:dyDescent="0.25"/>
    <row r="2699" customFormat="1" ht="12.5" customHeight="1" x14ac:dyDescent="0.25"/>
    <row r="2700" customFormat="1" ht="12.5" customHeight="1" x14ac:dyDescent="0.25"/>
    <row r="2701" customFormat="1" ht="12.5" customHeight="1" x14ac:dyDescent="0.25"/>
    <row r="2702" customFormat="1" ht="12.5" customHeight="1" x14ac:dyDescent="0.25"/>
    <row r="2703" customFormat="1" ht="12.5" customHeight="1" x14ac:dyDescent="0.25"/>
    <row r="2704" customFormat="1" ht="12.5" customHeight="1" x14ac:dyDescent="0.25"/>
    <row r="2705" customFormat="1" ht="12.5" customHeight="1" x14ac:dyDescent="0.25"/>
    <row r="2706" customFormat="1" ht="12.5" customHeight="1" x14ac:dyDescent="0.25"/>
    <row r="2707" customFormat="1" ht="12.5" customHeight="1" x14ac:dyDescent="0.25"/>
    <row r="2708" customFormat="1" ht="12.5" customHeight="1" x14ac:dyDescent="0.25"/>
    <row r="2709" customFormat="1" ht="12.5" customHeight="1" x14ac:dyDescent="0.25"/>
    <row r="2710" customFormat="1" ht="12.5" customHeight="1" x14ac:dyDescent="0.25"/>
    <row r="2711" customFormat="1" ht="12.5" customHeight="1" x14ac:dyDescent="0.25"/>
    <row r="2712" customFormat="1" ht="12.5" customHeight="1" x14ac:dyDescent="0.25"/>
    <row r="2713" customFormat="1" ht="12.5" customHeight="1" x14ac:dyDescent="0.25"/>
    <row r="2714" customFormat="1" ht="12.5" customHeight="1" x14ac:dyDescent="0.25"/>
    <row r="2715" customFormat="1" ht="12.5" customHeight="1" x14ac:dyDescent="0.25"/>
    <row r="2716" customFormat="1" ht="12.5" customHeight="1" x14ac:dyDescent="0.25"/>
    <row r="2717" customFormat="1" ht="12.5" customHeight="1" x14ac:dyDescent="0.25"/>
    <row r="2718" customFormat="1" ht="12.5" customHeight="1" x14ac:dyDescent="0.25"/>
    <row r="2719" customFormat="1" ht="12.5" customHeight="1" x14ac:dyDescent="0.25"/>
    <row r="2720" customFormat="1" ht="12.5" customHeight="1" x14ac:dyDescent="0.25"/>
    <row r="2721" customFormat="1" ht="12.5" customHeight="1" x14ac:dyDescent="0.25"/>
    <row r="2722" customFormat="1" ht="12.5" customHeight="1" x14ac:dyDescent="0.25"/>
    <row r="2723" customFormat="1" ht="12.5" customHeight="1" x14ac:dyDescent="0.25"/>
    <row r="2724" customFormat="1" ht="12.5" customHeight="1" x14ac:dyDescent="0.25"/>
    <row r="2725" customFormat="1" ht="12.5" customHeight="1" x14ac:dyDescent="0.25"/>
    <row r="2726" customFormat="1" ht="12.5" customHeight="1" x14ac:dyDescent="0.25"/>
    <row r="2727" customFormat="1" ht="12.5" customHeight="1" x14ac:dyDescent="0.25"/>
    <row r="2728" customFormat="1" ht="12.5" customHeight="1" x14ac:dyDescent="0.25"/>
    <row r="2729" customFormat="1" ht="12.5" customHeight="1" x14ac:dyDescent="0.25"/>
    <row r="2730" customFormat="1" ht="12.5" customHeight="1" x14ac:dyDescent="0.25"/>
    <row r="2731" customFormat="1" ht="12.5" customHeight="1" x14ac:dyDescent="0.25"/>
    <row r="2732" customFormat="1" ht="12.5" customHeight="1" x14ac:dyDescent="0.25"/>
    <row r="2733" customFormat="1" ht="12.5" customHeight="1" x14ac:dyDescent="0.25"/>
    <row r="2734" customFormat="1" ht="12.5" customHeight="1" x14ac:dyDescent="0.25"/>
    <row r="2735" customFormat="1" ht="12.5" customHeight="1" x14ac:dyDescent="0.25"/>
    <row r="2736" customFormat="1" ht="12.5" customHeight="1" x14ac:dyDescent="0.25"/>
    <row r="2737" customFormat="1" ht="12.5" customHeight="1" x14ac:dyDescent="0.25"/>
    <row r="2738" customFormat="1" ht="12.5" customHeight="1" x14ac:dyDescent="0.25"/>
    <row r="2739" customFormat="1" ht="12.5" customHeight="1" x14ac:dyDescent="0.25"/>
    <row r="2740" customFormat="1" ht="12.5" customHeight="1" x14ac:dyDescent="0.25"/>
    <row r="2741" customFormat="1" ht="12.5" customHeight="1" x14ac:dyDescent="0.25"/>
    <row r="2742" customFormat="1" ht="12.5" customHeight="1" x14ac:dyDescent="0.25"/>
    <row r="2743" customFormat="1" ht="12.5" customHeight="1" x14ac:dyDescent="0.25"/>
    <row r="2744" customFormat="1" ht="12.5" customHeight="1" x14ac:dyDescent="0.25"/>
    <row r="2745" customFormat="1" ht="12.5" customHeight="1" x14ac:dyDescent="0.25"/>
    <row r="2746" customFormat="1" ht="12.5" customHeight="1" x14ac:dyDescent="0.25"/>
    <row r="2747" customFormat="1" ht="12.5" customHeight="1" x14ac:dyDescent="0.25"/>
    <row r="2748" customFormat="1" ht="12.5" customHeight="1" x14ac:dyDescent="0.25"/>
    <row r="2749" customFormat="1" ht="12.5" customHeight="1" x14ac:dyDescent="0.25"/>
    <row r="2750" customFormat="1" ht="12.5" customHeight="1" x14ac:dyDescent="0.25"/>
    <row r="2751" customFormat="1" ht="12.5" customHeight="1" x14ac:dyDescent="0.25"/>
    <row r="2752" customFormat="1" ht="12.5" customHeight="1" x14ac:dyDescent="0.25"/>
    <row r="2753" customFormat="1" ht="12.5" customHeight="1" x14ac:dyDescent="0.25"/>
    <row r="2754" customFormat="1" ht="12.5" customHeight="1" x14ac:dyDescent="0.25"/>
    <row r="2755" customFormat="1" ht="12.5" customHeight="1" x14ac:dyDescent="0.25"/>
    <row r="2756" customFormat="1" ht="12.5" customHeight="1" x14ac:dyDescent="0.25"/>
    <row r="2757" customFormat="1" ht="12.5" customHeight="1" x14ac:dyDescent="0.25"/>
    <row r="2758" customFormat="1" ht="12.5" customHeight="1" x14ac:dyDescent="0.25"/>
    <row r="2759" customFormat="1" ht="12.5" customHeight="1" x14ac:dyDescent="0.25"/>
    <row r="2760" customFormat="1" ht="12.5" customHeight="1" x14ac:dyDescent="0.25"/>
    <row r="2761" customFormat="1" ht="12.5" customHeight="1" x14ac:dyDescent="0.25"/>
    <row r="2762" customFormat="1" ht="12.5" customHeight="1" x14ac:dyDescent="0.25"/>
    <row r="2763" customFormat="1" ht="12.5" customHeight="1" x14ac:dyDescent="0.25"/>
    <row r="2764" customFormat="1" ht="12.5" customHeight="1" x14ac:dyDescent="0.25"/>
    <row r="2765" customFormat="1" ht="12.5" customHeight="1" x14ac:dyDescent="0.25"/>
    <row r="2766" customFormat="1" ht="12.5" customHeight="1" x14ac:dyDescent="0.25"/>
    <row r="2767" customFormat="1" ht="12.5" customHeight="1" x14ac:dyDescent="0.25"/>
    <row r="2768" customFormat="1" ht="12.5" customHeight="1" x14ac:dyDescent="0.25"/>
    <row r="2769" customFormat="1" ht="12.5" customHeight="1" x14ac:dyDescent="0.25"/>
    <row r="2770" customFormat="1" ht="12.5" customHeight="1" x14ac:dyDescent="0.25"/>
    <row r="2771" customFormat="1" ht="12.5" customHeight="1" x14ac:dyDescent="0.25"/>
    <row r="2772" customFormat="1" ht="12.5" customHeight="1" x14ac:dyDescent="0.25"/>
    <row r="2773" customFormat="1" ht="12.5" customHeight="1" x14ac:dyDescent="0.25"/>
    <row r="2774" customFormat="1" ht="12.5" customHeight="1" x14ac:dyDescent="0.25"/>
    <row r="2775" customFormat="1" ht="12.5" customHeight="1" x14ac:dyDescent="0.25"/>
    <row r="2776" customFormat="1" ht="12.5" customHeight="1" x14ac:dyDescent="0.25"/>
    <row r="2777" customFormat="1" ht="12.5" customHeight="1" x14ac:dyDescent="0.25"/>
    <row r="2778" customFormat="1" ht="12.5" customHeight="1" x14ac:dyDescent="0.25"/>
    <row r="2779" customFormat="1" ht="12.5" customHeight="1" x14ac:dyDescent="0.25"/>
    <row r="2780" customFormat="1" ht="12.5" customHeight="1" x14ac:dyDescent="0.25"/>
    <row r="2781" customFormat="1" ht="12.5" customHeight="1" x14ac:dyDescent="0.25"/>
    <row r="2782" customFormat="1" ht="12.5" customHeight="1" x14ac:dyDescent="0.25"/>
    <row r="2783" customFormat="1" ht="12.5" customHeight="1" x14ac:dyDescent="0.25"/>
    <row r="2784" customFormat="1" ht="12.5" customHeight="1" x14ac:dyDescent="0.25"/>
    <row r="2785" customFormat="1" ht="12.5" customHeight="1" x14ac:dyDescent="0.25"/>
    <row r="2786" customFormat="1" ht="12.5" customHeight="1" x14ac:dyDescent="0.25"/>
    <row r="2787" customFormat="1" ht="12.5" customHeight="1" x14ac:dyDescent="0.25"/>
    <row r="2788" customFormat="1" ht="12.5" customHeight="1" x14ac:dyDescent="0.25"/>
    <row r="2789" customFormat="1" ht="12.5" customHeight="1" x14ac:dyDescent="0.25"/>
    <row r="2790" customFormat="1" ht="12.5" customHeight="1" x14ac:dyDescent="0.25"/>
    <row r="2791" customFormat="1" ht="12.5" customHeight="1" x14ac:dyDescent="0.25"/>
    <row r="2792" customFormat="1" ht="12.5" customHeight="1" x14ac:dyDescent="0.25"/>
    <row r="2793" customFormat="1" ht="12.5" customHeight="1" x14ac:dyDescent="0.25"/>
    <row r="2794" customFormat="1" ht="12.5" customHeight="1" x14ac:dyDescent="0.25"/>
    <row r="2795" customFormat="1" ht="12.5" customHeight="1" x14ac:dyDescent="0.25"/>
    <row r="2796" customFormat="1" ht="12.5" customHeight="1" x14ac:dyDescent="0.25"/>
    <row r="2797" customFormat="1" ht="12.5" customHeight="1" x14ac:dyDescent="0.25"/>
    <row r="2798" customFormat="1" ht="12.5" customHeight="1" x14ac:dyDescent="0.25"/>
    <row r="2799" customFormat="1" ht="12.5" customHeight="1" x14ac:dyDescent="0.25"/>
    <row r="2800" customFormat="1" ht="12.5" customHeight="1" x14ac:dyDescent="0.25"/>
    <row r="2801" customFormat="1" ht="12.5" customHeight="1" x14ac:dyDescent="0.25"/>
    <row r="2802" customFormat="1" ht="12.5" customHeight="1" x14ac:dyDescent="0.25"/>
    <row r="2803" customFormat="1" ht="12.5" customHeight="1" x14ac:dyDescent="0.25"/>
    <row r="2804" customFormat="1" ht="12.5" customHeight="1" x14ac:dyDescent="0.25"/>
    <row r="2805" customFormat="1" ht="12.5" customHeight="1" x14ac:dyDescent="0.25"/>
    <row r="2806" customFormat="1" ht="12.5" customHeight="1" x14ac:dyDescent="0.25"/>
    <row r="2807" customFormat="1" ht="12.5" customHeight="1" x14ac:dyDescent="0.25"/>
    <row r="2808" customFormat="1" ht="12.5" customHeight="1" x14ac:dyDescent="0.25"/>
    <row r="2809" customFormat="1" ht="12.5" customHeight="1" x14ac:dyDescent="0.25"/>
    <row r="2810" customFormat="1" ht="12.5" customHeight="1" x14ac:dyDescent="0.25"/>
    <row r="2811" customFormat="1" ht="12.5" customHeight="1" x14ac:dyDescent="0.25"/>
    <row r="2812" customFormat="1" ht="12.5" customHeight="1" x14ac:dyDescent="0.25"/>
    <row r="2813" customFormat="1" ht="12.5" customHeight="1" x14ac:dyDescent="0.25"/>
    <row r="2814" customFormat="1" ht="12.5" customHeight="1" x14ac:dyDescent="0.25"/>
    <row r="2815" customFormat="1" ht="12.5" customHeight="1" x14ac:dyDescent="0.25"/>
    <row r="2816" customFormat="1" ht="12.5" customHeight="1" x14ac:dyDescent="0.25"/>
    <row r="2817" customFormat="1" ht="12.5" customHeight="1" x14ac:dyDescent="0.25"/>
    <row r="2818" customFormat="1" ht="12.5" customHeight="1" x14ac:dyDescent="0.25"/>
    <row r="2819" customFormat="1" ht="12.5" customHeight="1" x14ac:dyDescent="0.25"/>
    <row r="2820" customFormat="1" ht="12.5" customHeight="1" x14ac:dyDescent="0.25"/>
    <row r="2821" customFormat="1" ht="12.5" customHeight="1" x14ac:dyDescent="0.25"/>
    <row r="2822" customFormat="1" ht="12.5" customHeight="1" x14ac:dyDescent="0.25"/>
    <row r="2823" customFormat="1" ht="12.5" customHeight="1" x14ac:dyDescent="0.25"/>
    <row r="2824" customFormat="1" ht="12.5" customHeight="1" x14ac:dyDescent="0.25"/>
    <row r="2825" customFormat="1" ht="12.5" customHeight="1" x14ac:dyDescent="0.25"/>
    <row r="2826" customFormat="1" ht="12.5" customHeight="1" x14ac:dyDescent="0.25"/>
    <row r="2827" customFormat="1" ht="12.5" customHeight="1" x14ac:dyDescent="0.25"/>
    <row r="2828" customFormat="1" ht="12.5" customHeight="1" x14ac:dyDescent="0.25"/>
    <row r="2829" customFormat="1" ht="12.5" customHeight="1" x14ac:dyDescent="0.25"/>
    <row r="2830" customFormat="1" ht="12.5" customHeight="1" x14ac:dyDescent="0.25"/>
    <row r="2831" customFormat="1" ht="12.5" customHeight="1" x14ac:dyDescent="0.25"/>
    <row r="2832" customFormat="1" ht="12.5" customHeight="1" x14ac:dyDescent="0.25"/>
    <row r="2833" customFormat="1" ht="12.5" customHeight="1" x14ac:dyDescent="0.25"/>
    <row r="2834" customFormat="1" ht="12.5" customHeight="1" x14ac:dyDescent="0.25"/>
    <row r="2835" customFormat="1" ht="12.5" customHeight="1" x14ac:dyDescent="0.25"/>
    <row r="2836" customFormat="1" ht="12.5" customHeight="1" x14ac:dyDescent="0.25"/>
    <row r="2837" customFormat="1" ht="12.5" customHeight="1" x14ac:dyDescent="0.25"/>
    <row r="2838" customFormat="1" ht="12.5" customHeight="1" x14ac:dyDescent="0.25"/>
    <row r="2839" customFormat="1" ht="12.5" customHeight="1" x14ac:dyDescent="0.25"/>
    <row r="2840" customFormat="1" ht="12.5" customHeight="1" x14ac:dyDescent="0.25"/>
    <row r="2841" customFormat="1" ht="12.5" customHeight="1" x14ac:dyDescent="0.25"/>
    <row r="2842" customFormat="1" ht="12.5" customHeight="1" x14ac:dyDescent="0.25"/>
    <row r="2843" customFormat="1" ht="12.5" customHeight="1" x14ac:dyDescent="0.25"/>
    <row r="2844" customFormat="1" ht="12.5" customHeight="1" x14ac:dyDescent="0.25"/>
    <row r="2845" customFormat="1" ht="12.5" customHeight="1" x14ac:dyDescent="0.25"/>
    <row r="2846" customFormat="1" ht="12.5" customHeight="1" x14ac:dyDescent="0.25"/>
    <row r="2847" customFormat="1" ht="12.5" customHeight="1" x14ac:dyDescent="0.25"/>
    <row r="2848" customFormat="1" ht="12.5" customHeight="1" x14ac:dyDescent="0.25"/>
    <row r="2849" customFormat="1" ht="12.5" customHeight="1" x14ac:dyDescent="0.25"/>
    <row r="2850" customFormat="1" ht="12.5" customHeight="1" x14ac:dyDescent="0.25"/>
    <row r="2851" customFormat="1" ht="12.5" customHeight="1" x14ac:dyDescent="0.25"/>
    <row r="2852" customFormat="1" ht="12.5" customHeight="1" x14ac:dyDescent="0.25"/>
    <row r="2853" customFormat="1" ht="12.5" customHeight="1" x14ac:dyDescent="0.25"/>
    <row r="2854" customFormat="1" ht="12.5" customHeight="1" x14ac:dyDescent="0.25"/>
    <row r="2855" customFormat="1" ht="12.5" customHeight="1" x14ac:dyDescent="0.25"/>
    <row r="2856" customFormat="1" ht="12.5" customHeight="1" x14ac:dyDescent="0.25"/>
    <row r="2857" customFormat="1" ht="12.5" customHeight="1" x14ac:dyDescent="0.25"/>
    <row r="2858" customFormat="1" ht="12.5" customHeight="1" x14ac:dyDescent="0.25"/>
    <row r="2859" customFormat="1" ht="12.5" customHeight="1" x14ac:dyDescent="0.25"/>
    <row r="2860" customFormat="1" ht="12.5" customHeight="1" x14ac:dyDescent="0.25"/>
    <row r="2861" customFormat="1" ht="12.5" customHeight="1" x14ac:dyDescent="0.25"/>
    <row r="2862" customFormat="1" ht="12.5" customHeight="1" x14ac:dyDescent="0.25"/>
    <row r="2863" customFormat="1" ht="12.5" customHeight="1" x14ac:dyDescent="0.25"/>
    <row r="2864" customFormat="1" ht="12.5" customHeight="1" x14ac:dyDescent="0.25"/>
    <row r="2865" customFormat="1" ht="12.5" customHeight="1" x14ac:dyDescent="0.25"/>
    <row r="2866" customFormat="1" ht="12.5" customHeight="1" x14ac:dyDescent="0.25"/>
    <row r="2867" customFormat="1" ht="12.5" customHeight="1" x14ac:dyDescent="0.25"/>
    <row r="2868" customFormat="1" ht="12.5" customHeight="1" x14ac:dyDescent="0.25"/>
    <row r="2869" customFormat="1" ht="12.5" customHeight="1" x14ac:dyDescent="0.25"/>
    <row r="2870" customFormat="1" ht="12.5" customHeight="1" x14ac:dyDescent="0.25"/>
    <row r="2871" customFormat="1" ht="12.5" customHeight="1" x14ac:dyDescent="0.25"/>
    <row r="2872" customFormat="1" ht="12.5" customHeight="1" x14ac:dyDescent="0.25"/>
    <row r="2873" customFormat="1" ht="12.5" customHeight="1" x14ac:dyDescent="0.25"/>
    <row r="2874" customFormat="1" ht="12.5" customHeight="1" x14ac:dyDescent="0.25"/>
    <row r="2875" customFormat="1" ht="12.5" customHeight="1" x14ac:dyDescent="0.25"/>
    <row r="2876" customFormat="1" ht="12.5" customHeight="1" x14ac:dyDescent="0.25"/>
    <row r="2877" customFormat="1" ht="12.5" customHeight="1" x14ac:dyDescent="0.25"/>
    <row r="2878" customFormat="1" ht="12.5" customHeight="1" x14ac:dyDescent="0.25"/>
    <row r="2879" customFormat="1" ht="12.5" customHeight="1" x14ac:dyDescent="0.25"/>
    <row r="2880" customFormat="1" ht="12.5" customHeight="1" x14ac:dyDescent="0.25"/>
    <row r="2881" customFormat="1" ht="12.5" customHeight="1" x14ac:dyDescent="0.25"/>
    <row r="2882" customFormat="1" ht="12.5" customHeight="1" x14ac:dyDescent="0.25"/>
    <row r="2883" customFormat="1" ht="12.5" customHeight="1" x14ac:dyDescent="0.25"/>
    <row r="2884" customFormat="1" ht="12.5" customHeight="1" x14ac:dyDescent="0.25"/>
    <row r="2885" customFormat="1" ht="12.5" customHeight="1" x14ac:dyDescent="0.25"/>
    <row r="2886" customFormat="1" ht="12.5" customHeight="1" x14ac:dyDescent="0.25"/>
    <row r="2887" customFormat="1" ht="12.5" customHeight="1" x14ac:dyDescent="0.25"/>
    <row r="2888" customFormat="1" ht="12.5" customHeight="1" x14ac:dyDescent="0.25"/>
    <row r="2889" customFormat="1" ht="12.5" customHeight="1" x14ac:dyDescent="0.25"/>
    <row r="2890" customFormat="1" ht="12.5" customHeight="1" x14ac:dyDescent="0.25"/>
    <row r="2891" customFormat="1" ht="12.5" customHeight="1" x14ac:dyDescent="0.25"/>
    <row r="2892" customFormat="1" ht="12.5" customHeight="1" x14ac:dyDescent="0.25"/>
    <row r="2893" customFormat="1" ht="12.5" customHeight="1" x14ac:dyDescent="0.25"/>
    <row r="2894" customFormat="1" ht="12.5" customHeight="1" x14ac:dyDescent="0.25"/>
    <row r="2895" customFormat="1" ht="12.5" customHeight="1" x14ac:dyDescent="0.25"/>
    <row r="2896" customFormat="1" ht="12.5" customHeight="1" x14ac:dyDescent="0.25"/>
    <row r="2897" customFormat="1" ht="12.5" customHeight="1" x14ac:dyDescent="0.25"/>
    <row r="2898" customFormat="1" ht="12.5" customHeight="1" x14ac:dyDescent="0.25"/>
    <row r="2899" customFormat="1" ht="12.5" customHeight="1" x14ac:dyDescent="0.25"/>
    <row r="2900" customFormat="1" ht="12.5" customHeight="1" x14ac:dyDescent="0.25"/>
    <row r="2901" customFormat="1" ht="12.5" customHeight="1" x14ac:dyDescent="0.25"/>
    <row r="2902" customFormat="1" ht="12.5" customHeight="1" x14ac:dyDescent="0.25"/>
    <row r="2903" customFormat="1" ht="12.5" customHeight="1" x14ac:dyDescent="0.25"/>
    <row r="2904" customFormat="1" ht="12.5" customHeight="1" x14ac:dyDescent="0.25"/>
    <row r="2905" customFormat="1" ht="12.5" customHeight="1" x14ac:dyDescent="0.25"/>
    <row r="2906" customFormat="1" ht="12.5" customHeight="1" x14ac:dyDescent="0.25"/>
    <row r="2907" customFormat="1" ht="12.5" customHeight="1" x14ac:dyDescent="0.25"/>
    <row r="2908" customFormat="1" ht="12.5" customHeight="1" x14ac:dyDescent="0.25"/>
    <row r="2909" customFormat="1" ht="12.5" customHeight="1" x14ac:dyDescent="0.25"/>
    <row r="2910" customFormat="1" ht="12.5" customHeight="1" x14ac:dyDescent="0.25"/>
    <row r="2911" customFormat="1" ht="12.5" customHeight="1" x14ac:dyDescent="0.25"/>
    <row r="2912" customFormat="1" ht="12.5" customHeight="1" x14ac:dyDescent="0.25"/>
    <row r="2913" customFormat="1" ht="12.5" customHeight="1" x14ac:dyDescent="0.25"/>
    <row r="2914" customFormat="1" ht="12.5" customHeight="1" x14ac:dyDescent="0.25"/>
    <row r="2915" customFormat="1" ht="12.5" customHeight="1" x14ac:dyDescent="0.25"/>
    <row r="2916" customFormat="1" ht="12.5" customHeight="1" x14ac:dyDescent="0.25"/>
    <row r="2917" customFormat="1" ht="12.5" customHeight="1" x14ac:dyDescent="0.25"/>
    <row r="2918" customFormat="1" ht="12.5" customHeight="1" x14ac:dyDescent="0.25"/>
    <row r="2919" customFormat="1" ht="12.5" customHeight="1" x14ac:dyDescent="0.25"/>
    <row r="2920" customFormat="1" ht="12.5" customHeight="1" x14ac:dyDescent="0.25"/>
    <row r="2921" customFormat="1" ht="12.5" customHeight="1" x14ac:dyDescent="0.25"/>
    <row r="2922" customFormat="1" ht="12.5" customHeight="1" x14ac:dyDescent="0.25"/>
    <row r="2923" customFormat="1" ht="12.5" customHeight="1" x14ac:dyDescent="0.25"/>
    <row r="2924" customFormat="1" ht="12.5" customHeight="1" x14ac:dyDescent="0.25"/>
    <row r="2925" customFormat="1" ht="12.5" customHeight="1" x14ac:dyDescent="0.25"/>
    <row r="2926" customFormat="1" ht="12.5" customHeight="1" x14ac:dyDescent="0.25"/>
    <row r="2927" customFormat="1" ht="12.5" customHeight="1" x14ac:dyDescent="0.25"/>
    <row r="2928" customFormat="1" ht="12.5" customHeight="1" x14ac:dyDescent="0.25"/>
    <row r="2929" customFormat="1" ht="12.5" customHeight="1" x14ac:dyDescent="0.25"/>
    <row r="2930" customFormat="1" ht="12.5" customHeight="1" x14ac:dyDescent="0.25"/>
    <row r="2931" customFormat="1" ht="12.5" customHeight="1" x14ac:dyDescent="0.25"/>
    <row r="2932" customFormat="1" ht="12.5" customHeight="1" x14ac:dyDescent="0.25"/>
    <row r="2933" customFormat="1" ht="12.5" customHeight="1" x14ac:dyDescent="0.25"/>
    <row r="2934" customFormat="1" ht="12.5" customHeight="1" x14ac:dyDescent="0.25"/>
    <row r="2935" customFormat="1" ht="12.5" customHeight="1" x14ac:dyDescent="0.25"/>
    <row r="2936" customFormat="1" ht="12.5" customHeight="1" x14ac:dyDescent="0.25"/>
    <row r="2937" customFormat="1" ht="12.5" customHeight="1" x14ac:dyDescent="0.25"/>
    <row r="2938" customFormat="1" ht="12.5" customHeight="1" x14ac:dyDescent="0.25"/>
    <row r="2939" customFormat="1" ht="12.5" customHeight="1" x14ac:dyDescent="0.25"/>
    <row r="2940" customFormat="1" ht="12.5" customHeight="1" x14ac:dyDescent="0.25"/>
    <row r="2941" customFormat="1" ht="12.5" customHeight="1" x14ac:dyDescent="0.25"/>
    <row r="2942" customFormat="1" ht="12.5" customHeight="1" x14ac:dyDescent="0.25"/>
    <row r="2943" customFormat="1" ht="12.5" customHeight="1" x14ac:dyDescent="0.25"/>
    <row r="2944" customFormat="1" ht="12.5" customHeight="1" x14ac:dyDescent="0.25"/>
    <row r="2945" customFormat="1" ht="12.5" customHeight="1" x14ac:dyDescent="0.25"/>
    <row r="2946" customFormat="1" ht="12.5" customHeight="1" x14ac:dyDescent="0.25"/>
    <row r="2947" customFormat="1" ht="12.5" customHeight="1" x14ac:dyDescent="0.25"/>
    <row r="2948" customFormat="1" ht="12.5" customHeight="1" x14ac:dyDescent="0.25"/>
    <row r="2949" customFormat="1" ht="12.5" customHeight="1" x14ac:dyDescent="0.25"/>
    <row r="2950" customFormat="1" ht="12.5" customHeight="1" x14ac:dyDescent="0.25"/>
    <row r="2951" customFormat="1" ht="12.5" customHeight="1" x14ac:dyDescent="0.25"/>
    <row r="2952" customFormat="1" ht="12.5" customHeight="1" x14ac:dyDescent="0.25"/>
    <row r="2953" customFormat="1" ht="12.5" customHeight="1" x14ac:dyDescent="0.25"/>
    <row r="2954" customFormat="1" ht="12.5" customHeight="1" x14ac:dyDescent="0.25"/>
    <row r="2955" customFormat="1" ht="12.5" customHeight="1" x14ac:dyDescent="0.25"/>
    <row r="2956" customFormat="1" ht="12.5" customHeight="1" x14ac:dyDescent="0.25"/>
    <row r="2957" customFormat="1" ht="12.5" customHeight="1" x14ac:dyDescent="0.25"/>
    <row r="2958" customFormat="1" ht="12.5" customHeight="1" x14ac:dyDescent="0.25"/>
    <row r="2959" customFormat="1" ht="12.5" customHeight="1" x14ac:dyDescent="0.25"/>
    <row r="2960" customFormat="1" ht="12.5" customHeight="1" x14ac:dyDescent="0.25"/>
    <row r="2961" customFormat="1" ht="12.5" customHeight="1" x14ac:dyDescent="0.25"/>
    <row r="2962" customFormat="1" ht="12.5" customHeight="1" x14ac:dyDescent="0.25"/>
    <row r="2963" customFormat="1" ht="12.5" customHeight="1" x14ac:dyDescent="0.25"/>
    <row r="2964" customFormat="1" ht="12.5" customHeight="1" x14ac:dyDescent="0.25"/>
    <row r="2965" customFormat="1" ht="12.5" customHeight="1" x14ac:dyDescent="0.25"/>
    <row r="2966" customFormat="1" ht="12.5" customHeight="1" x14ac:dyDescent="0.25"/>
    <row r="2967" customFormat="1" ht="12.5" customHeight="1" x14ac:dyDescent="0.25"/>
    <row r="2968" customFormat="1" ht="12.5" customHeight="1" x14ac:dyDescent="0.25"/>
    <row r="2969" customFormat="1" ht="12.5" customHeight="1" x14ac:dyDescent="0.25"/>
    <row r="2970" customFormat="1" ht="12.5" customHeight="1" x14ac:dyDescent="0.25"/>
    <row r="2971" customFormat="1" ht="12.5" customHeight="1" x14ac:dyDescent="0.25"/>
    <row r="2972" customFormat="1" ht="12.5" customHeight="1" x14ac:dyDescent="0.25"/>
    <row r="2973" customFormat="1" ht="12.5" customHeight="1" x14ac:dyDescent="0.25"/>
    <row r="2974" customFormat="1" ht="12.5" customHeight="1" x14ac:dyDescent="0.25"/>
    <row r="2975" customFormat="1" ht="12.5" customHeight="1" x14ac:dyDescent="0.25"/>
    <row r="2976" customFormat="1" ht="12.5" customHeight="1" x14ac:dyDescent="0.25"/>
    <row r="2977" customFormat="1" ht="12.5" customHeight="1" x14ac:dyDescent="0.25"/>
    <row r="2978" customFormat="1" ht="12.5" customHeight="1" x14ac:dyDescent="0.25"/>
    <row r="2979" customFormat="1" ht="12.5" customHeight="1" x14ac:dyDescent="0.25"/>
    <row r="2980" customFormat="1" ht="12.5" customHeight="1" x14ac:dyDescent="0.25"/>
    <row r="2981" customFormat="1" ht="12.5" customHeight="1" x14ac:dyDescent="0.25"/>
    <row r="2982" customFormat="1" ht="12.5" customHeight="1" x14ac:dyDescent="0.25"/>
    <row r="2983" customFormat="1" ht="12.5" customHeight="1" x14ac:dyDescent="0.25"/>
    <row r="2984" customFormat="1" ht="12.5" customHeight="1" x14ac:dyDescent="0.25"/>
    <row r="2985" customFormat="1" ht="12.5" customHeight="1" x14ac:dyDescent="0.25"/>
    <row r="2986" customFormat="1" ht="12.5" customHeight="1" x14ac:dyDescent="0.25"/>
    <row r="2987" customFormat="1" ht="12.5" customHeight="1" x14ac:dyDescent="0.25"/>
    <row r="2988" customFormat="1" ht="12.5" customHeight="1" x14ac:dyDescent="0.25"/>
    <row r="2989" customFormat="1" ht="12.5" customHeight="1" x14ac:dyDescent="0.25"/>
    <row r="2990" customFormat="1" ht="12.5" customHeight="1" x14ac:dyDescent="0.25"/>
    <row r="2991" customFormat="1" ht="12.5" customHeight="1" x14ac:dyDescent="0.25"/>
    <row r="2992" customFormat="1" ht="12.5" customHeight="1" x14ac:dyDescent="0.25"/>
    <row r="2993" customFormat="1" ht="12.5" customHeight="1" x14ac:dyDescent="0.25"/>
    <row r="2994" customFormat="1" ht="12.5" customHeight="1" x14ac:dyDescent="0.25"/>
    <row r="2995" customFormat="1" ht="12.5" customHeight="1" x14ac:dyDescent="0.25"/>
    <row r="2996" customFormat="1" ht="12.5" customHeight="1" x14ac:dyDescent="0.25"/>
    <row r="2997" customFormat="1" ht="12.5" customHeight="1" x14ac:dyDescent="0.25"/>
    <row r="2998" customFormat="1" ht="12.5" customHeight="1" x14ac:dyDescent="0.25"/>
    <row r="2999" customFormat="1" ht="12.5" customHeight="1" x14ac:dyDescent="0.25"/>
    <row r="3000" customFormat="1" ht="12.5" customHeight="1" x14ac:dyDescent="0.25"/>
    <row r="3001" customFormat="1" ht="12.5" customHeight="1" x14ac:dyDescent="0.25"/>
    <row r="3002" customFormat="1" ht="12.5" customHeight="1" x14ac:dyDescent="0.25"/>
    <row r="3003" customFormat="1" ht="12.5" customHeight="1" x14ac:dyDescent="0.25"/>
    <row r="3004" customFormat="1" ht="12.5" customHeight="1" x14ac:dyDescent="0.25"/>
    <row r="3005" customFormat="1" ht="12.5" customHeight="1" x14ac:dyDescent="0.25"/>
    <row r="3006" customFormat="1" ht="12.5" customHeight="1" x14ac:dyDescent="0.25"/>
    <row r="3007" customFormat="1" ht="12.5" customHeight="1" x14ac:dyDescent="0.25"/>
    <row r="3008" customFormat="1" ht="12.5" customHeight="1" x14ac:dyDescent="0.25"/>
    <row r="3009" customFormat="1" ht="12.5" customHeight="1" x14ac:dyDescent="0.25"/>
    <row r="3010" customFormat="1" ht="12.5" customHeight="1" x14ac:dyDescent="0.25"/>
    <row r="3011" customFormat="1" ht="12.5" customHeight="1" x14ac:dyDescent="0.25"/>
    <row r="3012" customFormat="1" ht="12.5" customHeight="1" x14ac:dyDescent="0.25"/>
    <row r="3013" customFormat="1" ht="12.5" customHeight="1" x14ac:dyDescent="0.25"/>
    <row r="3014" customFormat="1" ht="12.5" customHeight="1" x14ac:dyDescent="0.25"/>
    <row r="3015" customFormat="1" ht="12.5" customHeight="1" x14ac:dyDescent="0.25"/>
    <row r="3016" customFormat="1" ht="12.5" customHeight="1" x14ac:dyDescent="0.25"/>
    <row r="3017" customFormat="1" ht="12.5" customHeight="1" x14ac:dyDescent="0.25"/>
    <row r="3018" customFormat="1" ht="12.5" customHeight="1" x14ac:dyDescent="0.25"/>
    <row r="3019" customFormat="1" ht="12.5" customHeight="1" x14ac:dyDescent="0.25"/>
    <row r="3020" customFormat="1" ht="12.5" customHeight="1" x14ac:dyDescent="0.25"/>
    <row r="3021" customFormat="1" ht="12.5" customHeight="1" x14ac:dyDescent="0.25"/>
    <row r="3022" customFormat="1" ht="12.5" customHeight="1" x14ac:dyDescent="0.25"/>
    <row r="3023" customFormat="1" ht="12.5" customHeight="1" x14ac:dyDescent="0.25"/>
    <row r="3024" customFormat="1" ht="12.5" customHeight="1" x14ac:dyDescent="0.25"/>
    <row r="3025" customFormat="1" ht="12.5" customHeight="1" x14ac:dyDescent="0.25"/>
    <row r="3026" customFormat="1" ht="12.5" customHeight="1" x14ac:dyDescent="0.25"/>
    <row r="3027" customFormat="1" ht="12.5" customHeight="1" x14ac:dyDescent="0.25"/>
    <row r="3028" customFormat="1" ht="12.5" customHeight="1" x14ac:dyDescent="0.25"/>
    <row r="3029" customFormat="1" ht="12.5" customHeight="1" x14ac:dyDescent="0.25"/>
    <row r="3030" customFormat="1" ht="12.5" customHeight="1" x14ac:dyDescent="0.25"/>
    <row r="3031" customFormat="1" ht="12.5" customHeight="1" x14ac:dyDescent="0.25"/>
    <row r="3032" customFormat="1" ht="12.5" customHeight="1" x14ac:dyDescent="0.25"/>
    <row r="3033" customFormat="1" ht="12.5" customHeight="1" x14ac:dyDescent="0.25"/>
    <row r="3034" customFormat="1" ht="12.5" customHeight="1" x14ac:dyDescent="0.25"/>
    <row r="3035" customFormat="1" ht="12.5" customHeight="1" x14ac:dyDescent="0.25"/>
    <row r="3036" customFormat="1" ht="12.5" customHeight="1" x14ac:dyDescent="0.25"/>
    <row r="3037" customFormat="1" ht="12.5" customHeight="1" x14ac:dyDescent="0.25"/>
    <row r="3038" customFormat="1" ht="12.5" customHeight="1" x14ac:dyDescent="0.25"/>
    <row r="3039" customFormat="1" ht="12.5" customHeight="1" x14ac:dyDescent="0.25"/>
    <row r="3040" customFormat="1" ht="12.5" customHeight="1" x14ac:dyDescent="0.25"/>
    <row r="3041" customFormat="1" ht="12.5" customHeight="1" x14ac:dyDescent="0.25"/>
    <row r="3042" customFormat="1" ht="12.5" customHeight="1" x14ac:dyDescent="0.25"/>
    <row r="3043" customFormat="1" ht="12.5" customHeight="1" x14ac:dyDescent="0.25"/>
    <row r="3044" customFormat="1" ht="12.5" customHeight="1" x14ac:dyDescent="0.25"/>
    <row r="3045" customFormat="1" ht="12.5" customHeight="1" x14ac:dyDescent="0.25"/>
    <row r="3046" customFormat="1" ht="12.5" customHeight="1" x14ac:dyDescent="0.25"/>
    <row r="3047" customFormat="1" ht="12.5" customHeight="1" x14ac:dyDescent="0.25"/>
    <row r="3048" customFormat="1" ht="12.5" customHeight="1" x14ac:dyDescent="0.25"/>
    <row r="3049" customFormat="1" ht="12.5" customHeight="1" x14ac:dyDescent="0.25"/>
    <row r="3050" customFormat="1" ht="12.5" customHeight="1" x14ac:dyDescent="0.25"/>
    <row r="3051" customFormat="1" ht="12.5" customHeight="1" x14ac:dyDescent="0.25"/>
    <row r="3052" customFormat="1" ht="12.5" customHeight="1" x14ac:dyDescent="0.25"/>
    <row r="3053" customFormat="1" ht="12.5" customHeight="1" x14ac:dyDescent="0.25"/>
    <row r="3054" customFormat="1" ht="12.5" customHeight="1" x14ac:dyDescent="0.25"/>
    <row r="3055" customFormat="1" ht="12.5" customHeight="1" x14ac:dyDescent="0.25"/>
    <row r="3056" customFormat="1" ht="12.5" customHeight="1" x14ac:dyDescent="0.25"/>
    <row r="3057" customFormat="1" ht="12.5" customHeight="1" x14ac:dyDescent="0.25"/>
    <row r="3058" customFormat="1" ht="12.5" customHeight="1" x14ac:dyDescent="0.25"/>
    <row r="3059" customFormat="1" ht="12.5" customHeight="1" x14ac:dyDescent="0.25"/>
    <row r="3060" customFormat="1" ht="12.5" customHeight="1" x14ac:dyDescent="0.25"/>
    <row r="3061" customFormat="1" ht="12.5" customHeight="1" x14ac:dyDescent="0.25"/>
    <row r="3062" customFormat="1" ht="12.5" customHeight="1" x14ac:dyDescent="0.25"/>
    <row r="3063" customFormat="1" ht="12.5" customHeight="1" x14ac:dyDescent="0.25"/>
    <row r="3064" customFormat="1" ht="12.5" customHeight="1" x14ac:dyDescent="0.25"/>
    <row r="3065" customFormat="1" ht="12.5" customHeight="1" x14ac:dyDescent="0.25"/>
    <row r="3066" customFormat="1" ht="12.5" customHeight="1" x14ac:dyDescent="0.25"/>
    <row r="3067" customFormat="1" ht="12.5" customHeight="1" x14ac:dyDescent="0.25"/>
    <row r="3068" customFormat="1" ht="12.5" customHeight="1" x14ac:dyDescent="0.25"/>
    <row r="3069" customFormat="1" ht="12.5" customHeight="1" x14ac:dyDescent="0.25"/>
    <row r="3070" customFormat="1" ht="12.5" customHeight="1" x14ac:dyDescent="0.25"/>
    <row r="3071" customFormat="1" ht="12.5" customHeight="1" x14ac:dyDescent="0.25"/>
    <row r="3072" customFormat="1" ht="12.5" customHeight="1" x14ac:dyDescent="0.25"/>
    <row r="3073" customFormat="1" ht="12.5" customHeight="1" x14ac:dyDescent="0.25"/>
    <row r="3074" customFormat="1" ht="12.5" customHeight="1" x14ac:dyDescent="0.25"/>
    <row r="3075" customFormat="1" ht="12.5" customHeight="1" x14ac:dyDescent="0.25"/>
    <row r="3076" customFormat="1" ht="12.5" customHeight="1" x14ac:dyDescent="0.25"/>
    <row r="3077" customFormat="1" ht="12.5" customHeight="1" x14ac:dyDescent="0.25"/>
    <row r="3078" customFormat="1" ht="12.5" customHeight="1" x14ac:dyDescent="0.25"/>
    <row r="3079" customFormat="1" ht="12.5" customHeight="1" x14ac:dyDescent="0.25"/>
    <row r="3080" customFormat="1" ht="12.5" customHeight="1" x14ac:dyDescent="0.25"/>
    <row r="3081" customFormat="1" ht="12.5" customHeight="1" x14ac:dyDescent="0.25"/>
    <row r="3082" customFormat="1" ht="12.5" customHeight="1" x14ac:dyDescent="0.25"/>
    <row r="3083" customFormat="1" ht="12.5" customHeight="1" x14ac:dyDescent="0.25"/>
    <row r="3084" customFormat="1" ht="12.5" customHeight="1" x14ac:dyDescent="0.25"/>
    <row r="3085" customFormat="1" ht="12.5" customHeight="1" x14ac:dyDescent="0.25"/>
    <row r="3086" customFormat="1" ht="12.5" customHeight="1" x14ac:dyDescent="0.25"/>
    <row r="3087" customFormat="1" ht="12.5" customHeight="1" x14ac:dyDescent="0.25"/>
    <row r="3088" customFormat="1" ht="12.5" customHeight="1" x14ac:dyDescent="0.25"/>
    <row r="3089" customFormat="1" ht="12.5" customHeight="1" x14ac:dyDescent="0.25"/>
    <row r="3090" customFormat="1" ht="12.5" customHeight="1" x14ac:dyDescent="0.25"/>
    <row r="3091" customFormat="1" ht="12.5" customHeight="1" x14ac:dyDescent="0.25"/>
    <row r="3092" customFormat="1" ht="12.5" customHeight="1" x14ac:dyDescent="0.25"/>
    <row r="3093" customFormat="1" ht="12.5" customHeight="1" x14ac:dyDescent="0.25"/>
    <row r="3094" customFormat="1" ht="12.5" customHeight="1" x14ac:dyDescent="0.25"/>
    <row r="3095" customFormat="1" ht="12.5" customHeight="1" x14ac:dyDescent="0.25"/>
    <row r="3096" customFormat="1" ht="12.5" customHeight="1" x14ac:dyDescent="0.25"/>
    <row r="3097" customFormat="1" ht="12.5" customHeight="1" x14ac:dyDescent="0.25"/>
    <row r="3098" customFormat="1" ht="12.5" customHeight="1" x14ac:dyDescent="0.25"/>
    <row r="3099" customFormat="1" ht="12.5" customHeight="1" x14ac:dyDescent="0.25"/>
    <row r="3100" customFormat="1" ht="12.5" customHeight="1" x14ac:dyDescent="0.25"/>
    <row r="3101" customFormat="1" ht="12.5" customHeight="1" x14ac:dyDescent="0.25"/>
    <row r="3102" customFormat="1" ht="12.5" customHeight="1" x14ac:dyDescent="0.25"/>
    <row r="3103" customFormat="1" ht="12.5" customHeight="1" x14ac:dyDescent="0.25"/>
    <row r="3104" customFormat="1" ht="12.5" customHeight="1" x14ac:dyDescent="0.25"/>
    <row r="3105" customFormat="1" ht="12.5" customHeight="1" x14ac:dyDescent="0.25"/>
    <row r="3106" customFormat="1" ht="12.5" customHeight="1" x14ac:dyDescent="0.25"/>
    <row r="3107" customFormat="1" ht="12.5" customHeight="1" x14ac:dyDescent="0.25"/>
    <row r="3108" customFormat="1" ht="12.5" customHeight="1" x14ac:dyDescent="0.25"/>
    <row r="3109" customFormat="1" ht="12.5" customHeight="1" x14ac:dyDescent="0.25"/>
    <row r="3110" customFormat="1" ht="12.5" customHeight="1" x14ac:dyDescent="0.25"/>
    <row r="3111" customFormat="1" ht="12.5" customHeight="1" x14ac:dyDescent="0.25"/>
    <row r="3112" customFormat="1" ht="12.5" customHeight="1" x14ac:dyDescent="0.25"/>
    <row r="3113" customFormat="1" ht="12.5" customHeight="1" x14ac:dyDescent="0.25"/>
    <row r="3114" customFormat="1" ht="12.5" customHeight="1" x14ac:dyDescent="0.25"/>
    <row r="3115" customFormat="1" ht="12.5" customHeight="1" x14ac:dyDescent="0.25"/>
    <row r="3116" customFormat="1" ht="12.5" customHeight="1" x14ac:dyDescent="0.25"/>
    <row r="3117" customFormat="1" ht="12.5" customHeight="1" x14ac:dyDescent="0.25"/>
    <row r="3118" customFormat="1" ht="12.5" customHeight="1" x14ac:dyDescent="0.25"/>
    <row r="3119" customFormat="1" ht="12.5" customHeight="1" x14ac:dyDescent="0.25"/>
    <row r="3120" customFormat="1" ht="12.5" customHeight="1" x14ac:dyDescent="0.25"/>
    <row r="3121" customFormat="1" ht="12.5" customHeight="1" x14ac:dyDescent="0.25"/>
    <row r="3122" customFormat="1" ht="12.5" customHeight="1" x14ac:dyDescent="0.25"/>
    <row r="3123" customFormat="1" ht="12.5" customHeight="1" x14ac:dyDescent="0.25"/>
    <row r="3124" customFormat="1" ht="12.5" customHeight="1" x14ac:dyDescent="0.25"/>
    <row r="3125" customFormat="1" ht="12.5" customHeight="1" x14ac:dyDescent="0.25"/>
    <row r="3126" customFormat="1" ht="12.5" customHeight="1" x14ac:dyDescent="0.25"/>
    <row r="3127" customFormat="1" ht="12.5" customHeight="1" x14ac:dyDescent="0.25"/>
    <row r="3128" customFormat="1" ht="12.5" customHeight="1" x14ac:dyDescent="0.25"/>
    <row r="3129" customFormat="1" ht="12.5" customHeight="1" x14ac:dyDescent="0.25"/>
    <row r="3130" customFormat="1" ht="12.5" customHeight="1" x14ac:dyDescent="0.25"/>
    <row r="3131" customFormat="1" ht="12.5" customHeight="1" x14ac:dyDescent="0.25"/>
    <row r="3132" customFormat="1" ht="12.5" customHeight="1" x14ac:dyDescent="0.25"/>
    <row r="3133" customFormat="1" ht="12.5" customHeight="1" x14ac:dyDescent="0.25"/>
    <row r="3134" customFormat="1" ht="12.5" customHeight="1" x14ac:dyDescent="0.25"/>
    <row r="3135" customFormat="1" ht="12.5" customHeight="1" x14ac:dyDescent="0.25"/>
    <row r="3136" customFormat="1" ht="12.5" customHeight="1" x14ac:dyDescent="0.25"/>
    <row r="3137" customFormat="1" ht="12.5" customHeight="1" x14ac:dyDescent="0.25"/>
    <row r="3138" customFormat="1" ht="12.5" customHeight="1" x14ac:dyDescent="0.25"/>
    <row r="3139" customFormat="1" ht="12.5" customHeight="1" x14ac:dyDescent="0.25"/>
    <row r="3140" customFormat="1" ht="12.5" customHeight="1" x14ac:dyDescent="0.25"/>
    <row r="3141" customFormat="1" ht="12.5" customHeight="1" x14ac:dyDescent="0.25"/>
    <row r="3142" customFormat="1" ht="12.5" customHeight="1" x14ac:dyDescent="0.25"/>
    <row r="3143" customFormat="1" ht="12.5" customHeight="1" x14ac:dyDescent="0.25"/>
    <row r="3144" customFormat="1" ht="12.5" customHeight="1" x14ac:dyDescent="0.25"/>
    <row r="3145" customFormat="1" ht="12.5" customHeight="1" x14ac:dyDescent="0.25"/>
    <row r="3146" customFormat="1" ht="12.5" customHeight="1" x14ac:dyDescent="0.25"/>
    <row r="3147" customFormat="1" ht="12.5" customHeight="1" x14ac:dyDescent="0.25"/>
    <row r="3148" customFormat="1" ht="12.5" customHeight="1" x14ac:dyDescent="0.25"/>
    <row r="3149" customFormat="1" ht="12.5" customHeight="1" x14ac:dyDescent="0.25"/>
    <row r="3150" customFormat="1" ht="12.5" customHeight="1" x14ac:dyDescent="0.25"/>
    <row r="3151" customFormat="1" ht="12.5" customHeight="1" x14ac:dyDescent="0.25"/>
    <row r="3152" customFormat="1" ht="12.5" customHeight="1" x14ac:dyDescent="0.25"/>
    <row r="3153" customFormat="1" ht="12.5" customHeight="1" x14ac:dyDescent="0.25"/>
    <row r="3154" customFormat="1" ht="12.5" customHeight="1" x14ac:dyDescent="0.25"/>
    <row r="3155" customFormat="1" ht="12.5" customHeight="1" x14ac:dyDescent="0.25"/>
    <row r="3156" customFormat="1" ht="12.5" customHeight="1" x14ac:dyDescent="0.25"/>
    <row r="3157" customFormat="1" ht="12.5" customHeight="1" x14ac:dyDescent="0.25"/>
    <row r="3158" customFormat="1" ht="12.5" customHeight="1" x14ac:dyDescent="0.25"/>
    <row r="3159" customFormat="1" ht="12.5" customHeight="1" x14ac:dyDescent="0.25"/>
    <row r="3160" customFormat="1" ht="12.5" customHeight="1" x14ac:dyDescent="0.25"/>
    <row r="3161" customFormat="1" ht="12.5" customHeight="1" x14ac:dyDescent="0.25"/>
    <row r="3162" customFormat="1" ht="12.5" customHeight="1" x14ac:dyDescent="0.25"/>
    <row r="3163" customFormat="1" ht="12.5" customHeight="1" x14ac:dyDescent="0.25"/>
    <row r="3164" customFormat="1" ht="12.5" customHeight="1" x14ac:dyDescent="0.25"/>
    <row r="3165" customFormat="1" ht="12.5" customHeight="1" x14ac:dyDescent="0.25"/>
    <row r="3166" customFormat="1" ht="12.5" customHeight="1" x14ac:dyDescent="0.25"/>
    <row r="3167" customFormat="1" ht="12.5" customHeight="1" x14ac:dyDescent="0.25"/>
    <row r="3168" customFormat="1" ht="12.5" customHeight="1" x14ac:dyDescent="0.25"/>
    <row r="3169" customFormat="1" ht="12.5" customHeight="1" x14ac:dyDescent="0.25"/>
    <row r="3170" customFormat="1" ht="12.5" customHeight="1" x14ac:dyDescent="0.25"/>
    <row r="3171" customFormat="1" ht="12.5" customHeight="1" x14ac:dyDescent="0.25"/>
    <row r="3172" customFormat="1" ht="12.5" customHeight="1" x14ac:dyDescent="0.25"/>
    <row r="3173" customFormat="1" ht="12.5" customHeight="1" x14ac:dyDescent="0.25"/>
    <row r="3174" customFormat="1" ht="12.5" customHeight="1" x14ac:dyDescent="0.25"/>
    <row r="3175" customFormat="1" ht="12.5" customHeight="1" x14ac:dyDescent="0.25"/>
    <row r="3176" customFormat="1" ht="12.5" customHeight="1" x14ac:dyDescent="0.25"/>
    <row r="3177" customFormat="1" ht="12.5" customHeight="1" x14ac:dyDescent="0.25"/>
    <row r="3178" customFormat="1" ht="12.5" customHeight="1" x14ac:dyDescent="0.25"/>
    <row r="3179" customFormat="1" ht="12.5" customHeight="1" x14ac:dyDescent="0.25"/>
    <row r="3180" customFormat="1" ht="12.5" customHeight="1" x14ac:dyDescent="0.25"/>
    <row r="3181" customFormat="1" ht="12.5" customHeight="1" x14ac:dyDescent="0.25"/>
    <row r="3182" customFormat="1" ht="12.5" customHeight="1" x14ac:dyDescent="0.25"/>
    <row r="3183" customFormat="1" ht="12.5" customHeight="1" x14ac:dyDescent="0.25"/>
    <row r="3184" customFormat="1" ht="12.5" customHeight="1" x14ac:dyDescent="0.25"/>
    <row r="3185" customFormat="1" ht="12.5" customHeight="1" x14ac:dyDescent="0.25"/>
    <row r="3186" customFormat="1" ht="12.5" customHeight="1" x14ac:dyDescent="0.25"/>
    <row r="3187" customFormat="1" ht="12.5" customHeight="1" x14ac:dyDescent="0.25"/>
    <row r="3188" customFormat="1" ht="12.5" customHeight="1" x14ac:dyDescent="0.25"/>
    <row r="3189" customFormat="1" ht="12.5" customHeight="1" x14ac:dyDescent="0.25"/>
    <row r="3190" customFormat="1" ht="12.5" customHeight="1" x14ac:dyDescent="0.25"/>
    <row r="3191" customFormat="1" ht="12.5" customHeight="1" x14ac:dyDescent="0.25"/>
    <row r="3192" customFormat="1" ht="12.5" customHeight="1" x14ac:dyDescent="0.25"/>
    <row r="3193" customFormat="1" ht="12.5" customHeight="1" x14ac:dyDescent="0.25"/>
    <row r="3194" customFormat="1" ht="12.5" customHeight="1" x14ac:dyDescent="0.25"/>
    <row r="3195" customFormat="1" ht="12.5" customHeight="1" x14ac:dyDescent="0.25"/>
    <row r="3196" customFormat="1" ht="12.5" customHeight="1" x14ac:dyDescent="0.25"/>
    <row r="3197" customFormat="1" ht="12.5" customHeight="1" x14ac:dyDescent="0.25"/>
    <row r="3198" customFormat="1" ht="12.5" customHeight="1" x14ac:dyDescent="0.25"/>
    <row r="3199" customFormat="1" ht="12.5" customHeight="1" x14ac:dyDescent="0.25"/>
    <row r="3200" customFormat="1" ht="12.5" customHeight="1" x14ac:dyDescent="0.25"/>
    <row r="3201" customFormat="1" ht="12.5" customHeight="1" x14ac:dyDescent="0.25"/>
    <row r="3202" customFormat="1" ht="12.5" customHeight="1" x14ac:dyDescent="0.25"/>
    <row r="3203" customFormat="1" ht="12.5" customHeight="1" x14ac:dyDescent="0.25"/>
    <row r="3204" customFormat="1" ht="12.5" customHeight="1" x14ac:dyDescent="0.25"/>
    <row r="3205" customFormat="1" ht="12.5" customHeight="1" x14ac:dyDescent="0.25"/>
    <row r="3206" customFormat="1" ht="12.5" customHeight="1" x14ac:dyDescent="0.25"/>
    <row r="3207" customFormat="1" ht="12.5" customHeight="1" x14ac:dyDescent="0.25"/>
    <row r="3208" customFormat="1" ht="12.5" customHeight="1" x14ac:dyDescent="0.25"/>
    <row r="3209" customFormat="1" ht="12.5" customHeight="1" x14ac:dyDescent="0.25"/>
    <row r="3210" customFormat="1" ht="12.5" customHeight="1" x14ac:dyDescent="0.25"/>
    <row r="3211" customFormat="1" ht="12.5" customHeight="1" x14ac:dyDescent="0.25"/>
    <row r="3212" customFormat="1" ht="12.5" customHeight="1" x14ac:dyDescent="0.25"/>
    <row r="3213" customFormat="1" ht="12.5" customHeight="1" x14ac:dyDescent="0.25"/>
    <row r="3214" customFormat="1" ht="12.5" customHeight="1" x14ac:dyDescent="0.25"/>
    <row r="3215" customFormat="1" ht="12.5" customHeight="1" x14ac:dyDescent="0.25"/>
    <row r="3216" customFormat="1" ht="12.5" customHeight="1" x14ac:dyDescent="0.25"/>
    <row r="3217" customFormat="1" ht="12.5" customHeight="1" x14ac:dyDescent="0.25"/>
    <row r="3218" customFormat="1" ht="12.5" customHeight="1" x14ac:dyDescent="0.25"/>
    <row r="3219" customFormat="1" ht="12.5" customHeight="1" x14ac:dyDescent="0.25"/>
    <row r="3220" customFormat="1" ht="12.5" customHeight="1" x14ac:dyDescent="0.25"/>
    <row r="3221" customFormat="1" ht="12.5" customHeight="1" x14ac:dyDescent="0.25"/>
    <row r="3222" customFormat="1" ht="12.5" customHeight="1" x14ac:dyDescent="0.25"/>
    <row r="3223" customFormat="1" ht="12.5" customHeight="1" x14ac:dyDescent="0.25"/>
    <row r="3224" customFormat="1" ht="12.5" customHeight="1" x14ac:dyDescent="0.25"/>
    <row r="3225" customFormat="1" ht="12.5" customHeight="1" x14ac:dyDescent="0.25"/>
    <row r="3226" customFormat="1" ht="12.5" customHeight="1" x14ac:dyDescent="0.25"/>
    <row r="3227" customFormat="1" ht="12.5" customHeight="1" x14ac:dyDescent="0.25"/>
    <row r="3228" customFormat="1" ht="12.5" customHeight="1" x14ac:dyDescent="0.25"/>
    <row r="3229" customFormat="1" ht="12.5" customHeight="1" x14ac:dyDescent="0.25"/>
    <row r="3230" customFormat="1" ht="12.5" customHeight="1" x14ac:dyDescent="0.25"/>
    <row r="3231" customFormat="1" ht="12.5" customHeight="1" x14ac:dyDescent="0.25"/>
    <row r="3232" customFormat="1" ht="12.5" customHeight="1" x14ac:dyDescent="0.25"/>
    <row r="3233" customFormat="1" ht="12.5" customHeight="1" x14ac:dyDescent="0.25"/>
    <row r="3234" customFormat="1" ht="12.5" customHeight="1" x14ac:dyDescent="0.25"/>
    <row r="3235" customFormat="1" ht="12.5" customHeight="1" x14ac:dyDescent="0.25"/>
    <row r="3236" customFormat="1" ht="12.5" customHeight="1" x14ac:dyDescent="0.25"/>
    <row r="3237" customFormat="1" ht="12.5" customHeight="1" x14ac:dyDescent="0.25"/>
    <row r="3238" customFormat="1" ht="12.5" customHeight="1" x14ac:dyDescent="0.25"/>
    <row r="3239" customFormat="1" ht="12.5" customHeight="1" x14ac:dyDescent="0.25"/>
    <row r="3240" customFormat="1" ht="12.5" customHeight="1" x14ac:dyDescent="0.25"/>
    <row r="3241" customFormat="1" ht="12.5" customHeight="1" x14ac:dyDescent="0.25"/>
    <row r="3242" customFormat="1" ht="12.5" customHeight="1" x14ac:dyDescent="0.25"/>
    <row r="3243" customFormat="1" ht="12.5" customHeight="1" x14ac:dyDescent="0.25"/>
    <row r="3244" customFormat="1" ht="12.5" customHeight="1" x14ac:dyDescent="0.25"/>
    <row r="3245" customFormat="1" ht="12.5" customHeight="1" x14ac:dyDescent="0.25"/>
    <row r="3246" customFormat="1" ht="12.5" customHeight="1" x14ac:dyDescent="0.25"/>
    <row r="3247" customFormat="1" ht="12.5" customHeight="1" x14ac:dyDescent="0.25"/>
    <row r="3248" customFormat="1" ht="12.5" customHeight="1" x14ac:dyDescent="0.25"/>
    <row r="3249" customFormat="1" ht="12.5" customHeight="1" x14ac:dyDescent="0.25"/>
    <row r="3250" customFormat="1" ht="12.5" customHeight="1" x14ac:dyDescent="0.25"/>
    <row r="3251" customFormat="1" ht="12.5" customHeight="1" x14ac:dyDescent="0.25"/>
    <row r="3252" customFormat="1" ht="12.5" customHeight="1" x14ac:dyDescent="0.25"/>
    <row r="3253" customFormat="1" ht="12.5" customHeight="1" x14ac:dyDescent="0.25"/>
    <row r="3254" customFormat="1" ht="12.5" customHeight="1" x14ac:dyDescent="0.25"/>
    <row r="3255" customFormat="1" ht="12.5" customHeight="1" x14ac:dyDescent="0.25"/>
    <row r="3256" customFormat="1" ht="12.5" customHeight="1" x14ac:dyDescent="0.25"/>
    <row r="3257" customFormat="1" ht="12.5" customHeight="1" x14ac:dyDescent="0.25"/>
    <row r="3258" customFormat="1" ht="12.5" customHeight="1" x14ac:dyDescent="0.25"/>
    <row r="3259" customFormat="1" ht="12.5" customHeight="1" x14ac:dyDescent="0.25"/>
    <row r="3260" customFormat="1" ht="12.5" customHeight="1" x14ac:dyDescent="0.25"/>
    <row r="3261" customFormat="1" ht="12.5" customHeight="1" x14ac:dyDescent="0.25"/>
    <row r="3262" customFormat="1" ht="12.5" customHeight="1" x14ac:dyDescent="0.25"/>
    <row r="3263" customFormat="1" ht="12.5" customHeight="1" x14ac:dyDescent="0.25"/>
    <row r="3264" customFormat="1" ht="12.5" customHeight="1" x14ac:dyDescent="0.25"/>
    <row r="3265" customFormat="1" ht="12.5" customHeight="1" x14ac:dyDescent="0.25"/>
    <row r="3266" customFormat="1" ht="12.5" customHeight="1" x14ac:dyDescent="0.25"/>
    <row r="3267" customFormat="1" ht="12.5" customHeight="1" x14ac:dyDescent="0.25"/>
    <row r="3268" customFormat="1" ht="12.5" customHeight="1" x14ac:dyDescent="0.25"/>
    <row r="3269" customFormat="1" ht="12.5" customHeight="1" x14ac:dyDescent="0.25"/>
    <row r="3270" customFormat="1" ht="12.5" customHeight="1" x14ac:dyDescent="0.25"/>
    <row r="3271" customFormat="1" ht="12.5" customHeight="1" x14ac:dyDescent="0.25"/>
    <row r="3272" customFormat="1" ht="12.5" customHeight="1" x14ac:dyDescent="0.25"/>
    <row r="3273" customFormat="1" ht="12.5" customHeight="1" x14ac:dyDescent="0.25"/>
    <row r="3274" customFormat="1" ht="12.5" customHeight="1" x14ac:dyDescent="0.25"/>
    <row r="3275" customFormat="1" ht="12.5" customHeight="1" x14ac:dyDescent="0.25"/>
    <row r="3276" customFormat="1" ht="12.5" customHeight="1" x14ac:dyDescent="0.25"/>
    <row r="3277" customFormat="1" ht="12.5" customHeight="1" x14ac:dyDescent="0.25"/>
    <row r="3278" customFormat="1" ht="12.5" customHeight="1" x14ac:dyDescent="0.25"/>
    <row r="3279" customFormat="1" ht="12.5" customHeight="1" x14ac:dyDescent="0.25"/>
    <row r="3280" customFormat="1" ht="12.5" customHeight="1" x14ac:dyDescent="0.25"/>
    <row r="3281" customFormat="1" ht="12.5" customHeight="1" x14ac:dyDescent="0.25"/>
    <row r="3282" customFormat="1" ht="12.5" customHeight="1" x14ac:dyDescent="0.25"/>
    <row r="3283" customFormat="1" ht="12.5" customHeight="1" x14ac:dyDescent="0.25"/>
    <row r="3284" customFormat="1" ht="12.5" customHeight="1" x14ac:dyDescent="0.25"/>
    <row r="3285" customFormat="1" ht="12.5" customHeight="1" x14ac:dyDescent="0.25"/>
    <row r="3286" customFormat="1" ht="12.5" customHeight="1" x14ac:dyDescent="0.25"/>
    <row r="3287" customFormat="1" ht="12.5" customHeight="1" x14ac:dyDescent="0.25"/>
    <row r="3288" customFormat="1" ht="12.5" customHeight="1" x14ac:dyDescent="0.25"/>
    <row r="3289" customFormat="1" ht="12.5" customHeight="1" x14ac:dyDescent="0.25"/>
    <row r="3290" customFormat="1" ht="12.5" customHeight="1" x14ac:dyDescent="0.25"/>
    <row r="3291" customFormat="1" ht="12.5" customHeight="1" x14ac:dyDescent="0.25"/>
    <row r="3292" customFormat="1" ht="12.5" customHeight="1" x14ac:dyDescent="0.25"/>
    <row r="3293" customFormat="1" ht="12.5" customHeight="1" x14ac:dyDescent="0.25"/>
    <row r="3294" customFormat="1" ht="12.5" customHeight="1" x14ac:dyDescent="0.25"/>
    <row r="3295" customFormat="1" ht="12.5" customHeight="1" x14ac:dyDescent="0.25"/>
    <row r="3296" customFormat="1" ht="12.5" customHeight="1" x14ac:dyDescent="0.25"/>
    <row r="3297" customFormat="1" ht="12.5" customHeight="1" x14ac:dyDescent="0.25"/>
    <row r="3298" customFormat="1" ht="12.5" customHeight="1" x14ac:dyDescent="0.25"/>
    <row r="3299" customFormat="1" ht="12.5" customHeight="1" x14ac:dyDescent="0.25"/>
    <row r="3300" customFormat="1" ht="12.5" customHeight="1" x14ac:dyDescent="0.25"/>
    <row r="3301" customFormat="1" ht="12.5" customHeight="1" x14ac:dyDescent="0.25"/>
    <row r="3302" customFormat="1" ht="12.5" customHeight="1" x14ac:dyDescent="0.25"/>
    <row r="3303" customFormat="1" ht="12.5" customHeight="1" x14ac:dyDescent="0.25"/>
    <row r="3304" customFormat="1" ht="12.5" customHeight="1" x14ac:dyDescent="0.25"/>
    <row r="3305" customFormat="1" ht="12.5" customHeight="1" x14ac:dyDescent="0.25"/>
    <row r="3306" customFormat="1" ht="12.5" customHeight="1" x14ac:dyDescent="0.25"/>
    <row r="3307" customFormat="1" ht="12.5" customHeight="1" x14ac:dyDescent="0.25"/>
    <row r="3308" customFormat="1" ht="12.5" customHeight="1" x14ac:dyDescent="0.25"/>
    <row r="3309" customFormat="1" ht="12.5" customHeight="1" x14ac:dyDescent="0.25"/>
    <row r="3310" customFormat="1" ht="12.5" customHeight="1" x14ac:dyDescent="0.25"/>
    <row r="3311" customFormat="1" ht="12.5" customHeight="1" x14ac:dyDescent="0.25"/>
    <row r="3312" customFormat="1" ht="12.5" customHeight="1" x14ac:dyDescent="0.25"/>
    <row r="3313" customFormat="1" ht="12.5" customHeight="1" x14ac:dyDescent="0.25"/>
    <row r="3314" customFormat="1" ht="12.5" customHeight="1" x14ac:dyDescent="0.25"/>
    <row r="3315" customFormat="1" ht="12.5" customHeight="1" x14ac:dyDescent="0.25"/>
    <row r="3316" customFormat="1" ht="12.5" customHeight="1" x14ac:dyDescent="0.25"/>
    <row r="3317" customFormat="1" ht="12.5" customHeight="1" x14ac:dyDescent="0.25"/>
    <row r="3318" customFormat="1" ht="12.5" customHeight="1" x14ac:dyDescent="0.25"/>
    <row r="3319" customFormat="1" ht="12.5" customHeight="1" x14ac:dyDescent="0.25"/>
    <row r="3320" customFormat="1" ht="12.5" customHeight="1" x14ac:dyDescent="0.25"/>
    <row r="3321" customFormat="1" ht="12.5" customHeight="1" x14ac:dyDescent="0.25"/>
    <row r="3322" customFormat="1" ht="12.5" customHeight="1" x14ac:dyDescent="0.25"/>
    <row r="3323" customFormat="1" ht="12.5" customHeight="1" x14ac:dyDescent="0.25"/>
    <row r="3324" customFormat="1" ht="12.5" customHeight="1" x14ac:dyDescent="0.25"/>
    <row r="3325" customFormat="1" ht="12.5" customHeight="1" x14ac:dyDescent="0.25"/>
    <row r="3326" customFormat="1" ht="12.5" customHeight="1" x14ac:dyDescent="0.25"/>
    <row r="3327" customFormat="1" ht="12.5" customHeight="1" x14ac:dyDescent="0.25"/>
    <row r="3328" customFormat="1" ht="12.5" customHeight="1" x14ac:dyDescent="0.25"/>
    <row r="3329" customFormat="1" ht="12.5" customHeight="1" x14ac:dyDescent="0.25"/>
    <row r="3330" customFormat="1" ht="12.5" customHeight="1" x14ac:dyDescent="0.25"/>
    <row r="3331" customFormat="1" ht="12.5" customHeight="1" x14ac:dyDescent="0.25"/>
    <row r="3332" customFormat="1" ht="12.5" customHeight="1" x14ac:dyDescent="0.25"/>
    <row r="3333" customFormat="1" ht="12.5" customHeight="1" x14ac:dyDescent="0.25"/>
    <row r="3334" customFormat="1" ht="12.5" customHeight="1" x14ac:dyDescent="0.25"/>
    <row r="3335" customFormat="1" ht="12.5" customHeight="1" x14ac:dyDescent="0.25"/>
    <row r="3336" customFormat="1" ht="12.5" customHeight="1" x14ac:dyDescent="0.25"/>
    <row r="3337" customFormat="1" ht="12.5" customHeight="1" x14ac:dyDescent="0.25"/>
    <row r="3338" customFormat="1" ht="12.5" customHeight="1" x14ac:dyDescent="0.25"/>
    <row r="3339" customFormat="1" ht="12.5" customHeight="1" x14ac:dyDescent="0.25"/>
    <row r="3340" customFormat="1" ht="12.5" customHeight="1" x14ac:dyDescent="0.25"/>
    <row r="3341" customFormat="1" ht="12.5" customHeight="1" x14ac:dyDescent="0.25"/>
    <row r="3342" customFormat="1" ht="12.5" customHeight="1" x14ac:dyDescent="0.25"/>
    <row r="3343" customFormat="1" ht="12.5" customHeight="1" x14ac:dyDescent="0.25"/>
    <row r="3344" customFormat="1" ht="12.5" customHeight="1" x14ac:dyDescent="0.25"/>
    <row r="3345" customFormat="1" ht="12.5" customHeight="1" x14ac:dyDescent="0.25"/>
    <row r="3346" customFormat="1" ht="12.5" customHeight="1" x14ac:dyDescent="0.25"/>
    <row r="3347" customFormat="1" ht="12.5" customHeight="1" x14ac:dyDescent="0.25"/>
    <row r="3348" customFormat="1" ht="12.5" customHeight="1" x14ac:dyDescent="0.25"/>
    <row r="3349" customFormat="1" ht="12.5" customHeight="1" x14ac:dyDescent="0.25"/>
    <row r="3350" customFormat="1" ht="12.5" customHeight="1" x14ac:dyDescent="0.25"/>
    <row r="3351" customFormat="1" ht="12.5" customHeight="1" x14ac:dyDescent="0.25"/>
    <row r="3352" customFormat="1" ht="12.5" customHeight="1" x14ac:dyDescent="0.25"/>
    <row r="3353" customFormat="1" ht="12.5" customHeight="1" x14ac:dyDescent="0.25"/>
    <row r="3354" customFormat="1" ht="12.5" customHeight="1" x14ac:dyDescent="0.25"/>
    <row r="3355" customFormat="1" ht="12.5" customHeight="1" x14ac:dyDescent="0.25"/>
    <row r="3356" customFormat="1" ht="12.5" customHeight="1" x14ac:dyDescent="0.25"/>
    <row r="3357" customFormat="1" ht="12.5" customHeight="1" x14ac:dyDescent="0.25"/>
    <row r="3358" customFormat="1" ht="12.5" customHeight="1" x14ac:dyDescent="0.25"/>
    <row r="3359" customFormat="1" ht="12.5" customHeight="1" x14ac:dyDescent="0.25"/>
    <row r="3360" customFormat="1" ht="12.5" customHeight="1" x14ac:dyDescent="0.25"/>
    <row r="3361" customFormat="1" ht="12.5" customHeight="1" x14ac:dyDescent="0.25"/>
    <row r="3362" customFormat="1" ht="12.5" customHeight="1" x14ac:dyDescent="0.25"/>
    <row r="3363" customFormat="1" ht="12.5" customHeight="1" x14ac:dyDescent="0.25"/>
    <row r="3364" customFormat="1" ht="12.5" customHeight="1" x14ac:dyDescent="0.25"/>
    <row r="3365" customFormat="1" ht="12.5" customHeight="1" x14ac:dyDescent="0.25"/>
    <row r="3366" customFormat="1" ht="12.5" customHeight="1" x14ac:dyDescent="0.25"/>
    <row r="3367" customFormat="1" ht="12.5" customHeight="1" x14ac:dyDescent="0.25"/>
    <row r="3368" customFormat="1" ht="12.5" customHeight="1" x14ac:dyDescent="0.25"/>
    <row r="3369" customFormat="1" ht="12.5" customHeight="1" x14ac:dyDescent="0.25"/>
    <row r="3370" customFormat="1" ht="12.5" customHeight="1" x14ac:dyDescent="0.25"/>
    <row r="3371" customFormat="1" ht="12.5" customHeight="1" x14ac:dyDescent="0.25"/>
    <row r="3372" customFormat="1" ht="12.5" customHeight="1" x14ac:dyDescent="0.25"/>
    <row r="3373" customFormat="1" ht="12.5" customHeight="1" x14ac:dyDescent="0.25"/>
    <row r="3374" customFormat="1" ht="12.5" customHeight="1" x14ac:dyDescent="0.25"/>
    <row r="3375" customFormat="1" ht="12.5" customHeight="1" x14ac:dyDescent="0.25"/>
    <row r="3376" customFormat="1" ht="12.5" customHeight="1" x14ac:dyDescent="0.25"/>
    <row r="3377" customFormat="1" ht="12.5" customHeight="1" x14ac:dyDescent="0.25"/>
    <row r="3378" customFormat="1" ht="12.5" customHeight="1" x14ac:dyDescent="0.25"/>
    <row r="3379" customFormat="1" ht="12.5" customHeight="1" x14ac:dyDescent="0.25"/>
    <row r="3380" customFormat="1" ht="12.5" customHeight="1" x14ac:dyDescent="0.25"/>
    <row r="3381" customFormat="1" ht="12.5" customHeight="1" x14ac:dyDescent="0.25"/>
    <row r="3382" customFormat="1" ht="12.5" customHeight="1" x14ac:dyDescent="0.25"/>
    <row r="3383" customFormat="1" ht="12.5" customHeight="1" x14ac:dyDescent="0.25"/>
    <row r="3384" customFormat="1" ht="12.5" customHeight="1" x14ac:dyDescent="0.25"/>
    <row r="3385" customFormat="1" ht="12.5" customHeight="1" x14ac:dyDescent="0.25"/>
    <row r="3386" customFormat="1" ht="12.5" customHeight="1" x14ac:dyDescent="0.25"/>
    <row r="3387" customFormat="1" ht="12.5" customHeight="1" x14ac:dyDescent="0.25"/>
    <row r="3388" customFormat="1" ht="12.5" customHeight="1" x14ac:dyDescent="0.25"/>
    <row r="3389" customFormat="1" ht="12.5" customHeight="1" x14ac:dyDescent="0.25"/>
    <row r="3390" customFormat="1" ht="12.5" customHeight="1" x14ac:dyDescent="0.25"/>
    <row r="3391" customFormat="1" ht="12.5" customHeight="1" x14ac:dyDescent="0.25"/>
    <row r="3392" customFormat="1" ht="12.5" customHeight="1" x14ac:dyDescent="0.25"/>
    <row r="3393" customFormat="1" ht="12.5" customHeight="1" x14ac:dyDescent="0.25"/>
    <row r="3394" customFormat="1" ht="12.5" customHeight="1" x14ac:dyDescent="0.25"/>
    <row r="3395" customFormat="1" ht="12.5" customHeight="1" x14ac:dyDescent="0.25"/>
    <row r="3396" customFormat="1" ht="12.5" customHeight="1" x14ac:dyDescent="0.25"/>
    <row r="3397" customFormat="1" ht="12.5" customHeight="1" x14ac:dyDescent="0.25"/>
    <row r="3398" customFormat="1" ht="12.5" customHeight="1" x14ac:dyDescent="0.25"/>
    <row r="3399" customFormat="1" ht="12.5" customHeight="1" x14ac:dyDescent="0.25"/>
    <row r="3400" customFormat="1" ht="12.5" customHeight="1" x14ac:dyDescent="0.25"/>
    <row r="3401" customFormat="1" ht="12.5" customHeight="1" x14ac:dyDescent="0.25"/>
    <row r="3402" customFormat="1" ht="12.5" customHeight="1" x14ac:dyDescent="0.25"/>
    <row r="3403" customFormat="1" ht="12.5" customHeight="1" x14ac:dyDescent="0.25"/>
    <row r="3404" customFormat="1" ht="12.5" customHeight="1" x14ac:dyDescent="0.25"/>
    <row r="3405" customFormat="1" ht="12.5" customHeight="1" x14ac:dyDescent="0.25"/>
    <row r="3406" customFormat="1" ht="12.5" customHeight="1" x14ac:dyDescent="0.25"/>
    <row r="3407" customFormat="1" ht="12.5" customHeight="1" x14ac:dyDescent="0.25"/>
    <row r="3408" customFormat="1" ht="12.5" customHeight="1" x14ac:dyDescent="0.25"/>
    <row r="3409" customFormat="1" ht="12.5" customHeight="1" x14ac:dyDescent="0.25"/>
    <row r="3410" customFormat="1" ht="12.5" customHeight="1" x14ac:dyDescent="0.25"/>
    <row r="3411" customFormat="1" ht="12.5" customHeight="1" x14ac:dyDescent="0.25"/>
    <row r="3412" customFormat="1" ht="12.5" customHeight="1" x14ac:dyDescent="0.25"/>
    <row r="3413" customFormat="1" ht="12.5" customHeight="1" x14ac:dyDescent="0.25"/>
    <row r="3414" customFormat="1" ht="12.5" customHeight="1" x14ac:dyDescent="0.25"/>
    <row r="3415" customFormat="1" ht="12.5" customHeight="1" x14ac:dyDescent="0.25"/>
    <row r="3416" customFormat="1" ht="12.5" customHeight="1" x14ac:dyDescent="0.25"/>
    <row r="3417" customFormat="1" ht="12.5" customHeight="1" x14ac:dyDescent="0.25"/>
    <row r="3418" customFormat="1" ht="12.5" customHeight="1" x14ac:dyDescent="0.25"/>
    <row r="3419" customFormat="1" ht="12.5" customHeight="1" x14ac:dyDescent="0.25"/>
    <row r="3420" customFormat="1" ht="12.5" customHeight="1" x14ac:dyDescent="0.25"/>
    <row r="3421" customFormat="1" ht="12.5" customHeight="1" x14ac:dyDescent="0.25"/>
    <row r="3422" customFormat="1" ht="12.5" customHeight="1" x14ac:dyDescent="0.25"/>
    <row r="3423" customFormat="1" ht="12.5" customHeight="1" x14ac:dyDescent="0.25"/>
    <row r="3424" customFormat="1" ht="12.5" customHeight="1" x14ac:dyDescent="0.25"/>
    <row r="3425" customFormat="1" ht="12.5" customHeight="1" x14ac:dyDescent="0.25"/>
    <row r="3426" customFormat="1" ht="12.5" customHeight="1" x14ac:dyDescent="0.25"/>
    <row r="3427" customFormat="1" ht="12.5" customHeight="1" x14ac:dyDescent="0.25"/>
    <row r="3428" customFormat="1" ht="12.5" customHeight="1" x14ac:dyDescent="0.25"/>
    <row r="3429" customFormat="1" ht="12.5" customHeight="1" x14ac:dyDescent="0.25"/>
    <row r="3430" customFormat="1" ht="12.5" customHeight="1" x14ac:dyDescent="0.25"/>
    <row r="3431" customFormat="1" ht="12.5" customHeight="1" x14ac:dyDescent="0.25"/>
    <row r="3432" customFormat="1" ht="12.5" customHeight="1" x14ac:dyDescent="0.25"/>
    <row r="3433" customFormat="1" ht="12.5" customHeight="1" x14ac:dyDescent="0.25"/>
    <row r="3434" customFormat="1" ht="12.5" customHeight="1" x14ac:dyDescent="0.25"/>
    <row r="3435" customFormat="1" ht="12.5" customHeight="1" x14ac:dyDescent="0.25"/>
    <row r="3436" customFormat="1" ht="12.5" customHeight="1" x14ac:dyDescent="0.25"/>
    <row r="3437" customFormat="1" ht="12.5" customHeight="1" x14ac:dyDescent="0.25"/>
    <row r="3438" customFormat="1" ht="12.5" customHeight="1" x14ac:dyDescent="0.25"/>
    <row r="3439" customFormat="1" ht="12.5" customHeight="1" x14ac:dyDescent="0.25"/>
    <row r="3440" customFormat="1" ht="12.5" customHeight="1" x14ac:dyDescent="0.25"/>
    <row r="3441" customFormat="1" ht="12.5" customHeight="1" x14ac:dyDescent="0.25"/>
    <row r="3442" customFormat="1" ht="12.5" customHeight="1" x14ac:dyDescent="0.25"/>
    <row r="3443" customFormat="1" ht="12.5" customHeight="1" x14ac:dyDescent="0.25"/>
    <row r="3444" customFormat="1" ht="12.5" customHeight="1" x14ac:dyDescent="0.25"/>
    <row r="3445" customFormat="1" ht="12.5" customHeight="1" x14ac:dyDescent="0.25"/>
    <row r="3446" customFormat="1" ht="12.5" customHeight="1" x14ac:dyDescent="0.25"/>
    <row r="3447" customFormat="1" ht="12.5" customHeight="1" x14ac:dyDescent="0.25"/>
    <row r="3448" customFormat="1" ht="12.5" customHeight="1" x14ac:dyDescent="0.25"/>
    <row r="3449" customFormat="1" ht="12.5" customHeight="1" x14ac:dyDescent="0.25"/>
    <row r="3450" customFormat="1" ht="12.5" customHeight="1" x14ac:dyDescent="0.25"/>
    <row r="3451" customFormat="1" ht="12.5" customHeight="1" x14ac:dyDescent="0.25"/>
    <row r="3452" customFormat="1" ht="12.5" customHeight="1" x14ac:dyDescent="0.25"/>
    <row r="3453" customFormat="1" ht="12.5" customHeight="1" x14ac:dyDescent="0.25"/>
    <row r="3454" customFormat="1" ht="12.5" customHeight="1" x14ac:dyDescent="0.25"/>
    <row r="3455" customFormat="1" ht="12.5" customHeight="1" x14ac:dyDescent="0.25"/>
    <row r="3456" customFormat="1" ht="12.5" customHeight="1" x14ac:dyDescent="0.25"/>
    <row r="3457" customFormat="1" ht="12.5" customHeight="1" x14ac:dyDescent="0.25"/>
    <row r="3458" customFormat="1" ht="12.5" customHeight="1" x14ac:dyDescent="0.25"/>
    <row r="3459" customFormat="1" ht="12.5" customHeight="1" x14ac:dyDescent="0.25"/>
    <row r="3460" customFormat="1" ht="12.5" customHeight="1" x14ac:dyDescent="0.25"/>
    <row r="3461" customFormat="1" ht="12.5" customHeight="1" x14ac:dyDescent="0.25"/>
    <row r="3462" customFormat="1" ht="12.5" customHeight="1" x14ac:dyDescent="0.25"/>
    <row r="3463" customFormat="1" ht="12.5" customHeight="1" x14ac:dyDescent="0.25"/>
    <row r="3464" customFormat="1" ht="12.5" customHeight="1" x14ac:dyDescent="0.25"/>
    <row r="3465" customFormat="1" ht="12.5" customHeight="1" x14ac:dyDescent="0.25"/>
    <row r="3466" customFormat="1" ht="12.5" customHeight="1" x14ac:dyDescent="0.25"/>
    <row r="3467" customFormat="1" ht="12.5" customHeight="1" x14ac:dyDescent="0.25"/>
    <row r="3468" customFormat="1" ht="12.5" customHeight="1" x14ac:dyDescent="0.25"/>
    <row r="3469" customFormat="1" ht="12.5" customHeight="1" x14ac:dyDescent="0.25"/>
    <row r="3470" customFormat="1" ht="12.5" customHeight="1" x14ac:dyDescent="0.25"/>
    <row r="3471" customFormat="1" ht="12.5" customHeight="1" x14ac:dyDescent="0.25"/>
    <row r="3472" customFormat="1" ht="12.5" customHeight="1" x14ac:dyDescent="0.25"/>
    <row r="3473" customFormat="1" ht="12.5" customHeight="1" x14ac:dyDescent="0.25"/>
    <row r="3474" customFormat="1" ht="12.5" customHeight="1" x14ac:dyDescent="0.25"/>
    <row r="3475" customFormat="1" ht="12.5" customHeight="1" x14ac:dyDescent="0.25"/>
    <row r="3476" customFormat="1" ht="12.5" customHeight="1" x14ac:dyDescent="0.25"/>
    <row r="3477" customFormat="1" ht="12.5" customHeight="1" x14ac:dyDescent="0.25"/>
    <row r="3478" customFormat="1" ht="12.5" customHeight="1" x14ac:dyDescent="0.25"/>
    <row r="3479" customFormat="1" ht="12.5" customHeight="1" x14ac:dyDescent="0.25"/>
    <row r="3480" customFormat="1" ht="12.5" customHeight="1" x14ac:dyDescent="0.25"/>
    <row r="3481" customFormat="1" ht="12.5" customHeight="1" x14ac:dyDescent="0.25"/>
    <row r="3482" customFormat="1" ht="12.5" customHeight="1" x14ac:dyDescent="0.25"/>
    <row r="3483" customFormat="1" ht="12.5" customHeight="1" x14ac:dyDescent="0.25"/>
    <row r="3484" customFormat="1" ht="12.5" customHeight="1" x14ac:dyDescent="0.25"/>
    <row r="3485" customFormat="1" ht="12.5" customHeight="1" x14ac:dyDescent="0.25"/>
    <row r="3486" customFormat="1" ht="12.5" customHeight="1" x14ac:dyDescent="0.25"/>
    <row r="3487" customFormat="1" ht="12.5" customHeight="1" x14ac:dyDescent="0.25"/>
    <row r="3488" customFormat="1" ht="12.5" customHeight="1" x14ac:dyDescent="0.25"/>
    <row r="3489" customFormat="1" ht="12.5" customHeight="1" x14ac:dyDescent="0.25"/>
    <row r="3490" customFormat="1" ht="12.5" customHeight="1" x14ac:dyDescent="0.25"/>
    <row r="3491" customFormat="1" ht="12.5" customHeight="1" x14ac:dyDescent="0.25"/>
    <row r="3492" customFormat="1" ht="12.5" customHeight="1" x14ac:dyDescent="0.25"/>
    <row r="3493" customFormat="1" ht="12.5" customHeight="1" x14ac:dyDescent="0.25"/>
    <row r="3494" customFormat="1" ht="12.5" customHeight="1" x14ac:dyDescent="0.25"/>
    <row r="3495" customFormat="1" ht="12.5" customHeight="1" x14ac:dyDescent="0.25"/>
    <row r="3496" customFormat="1" ht="12.5" customHeight="1" x14ac:dyDescent="0.25"/>
    <row r="3497" customFormat="1" ht="12.5" customHeight="1" x14ac:dyDescent="0.25"/>
    <row r="3498" customFormat="1" ht="12.5" customHeight="1" x14ac:dyDescent="0.25"/>
    <row r="3499" customFormat="1" ht="12.5" customHeight="1" x14ac:dyDescent="0.25"/>
    <row r="3500" customFormat="1" ht="12.5" customHeight="1" x14ac:dyDescent="0.25"/>
    <row r="3501" customFormat="1" ht="12.5" customHeight="1" x14ac:dyDescent="0.25"/>
    <row r="3502" customFormat="1" ht="12.5" customHeight="1" x14ac:dyDescent="0.25"/>
    <row r="3503" customFormat="1" ht="12.5" customHeight="1" x14ac:dyDescent="0.25"/>
    <row r="3504" customFormat="1" ht="12.5" customHeight="1" x14ac:dyDescent="0.25"/>
    <row r="3505" customFormat="1" ht="12.5" customHeight="1" x14ac:dyDescent="0.25"/>
    <row r="3506" customFormat="1" ht="12.5" customHeight="1" x14ac:dyDescent="0.25"/>
    <row r="3507" customFormat="1" ht="12.5" customHeight="1" x14ac:dyDescent="0.25"/>
    <row r="3508" customFormat="1" ht="12.5" customHeight="1" x14ac:dyDescent="0.25"/>
    <row r="3509" customFormat="1" ht="12.5" customHeight="1" x14ac:dyDescent="0.25"/>
    <row r="3510" customFormat="1" ht="12.5" customHeight="1" x14ac:dyDescent="0.25"/>
    <row r="3511" customFormat="1" ht="12.5" customHeight="1" x14ac:dyDescent="0.25"/>
    <row r="3512" customFormat="1" ht="12.5" customHeight="1" x14ac:dyDescent="0.25"/>
    <row r="3513" customFormat="1" ht="12.5" customHeight="1" x14ac:dyDescent="0.25"/>
    <row r="3514" customFormat="1" ht="12.5" customHeight="1" x14ac:dyDescent="0.25"/>
    <row r="3515" customFormat="1" ht="12.5" customHeight="1" x14ac:dyDescent="0.25"/>
    <row r="3516" customFormat="1" ht="12.5" customHeight="1" x14ac:dyDescent="0.25"/>
    <row r="3517" customFormat="1" ht="12.5" customHeight="1" x14ac:dyDescent="0.25"/>
    <row r="3518" customFormat="1" ht="12.5" customHeight="1" x14ac:dyDescent="0.25"/>
    <row r="3519" customFormat="1" ht="12.5" customHeight="1" x14ac:dyDescent="0.25"/>
    <row r="3520" customFormat="1" ht="12.5" customHeight="1" x14ac:dyDescent="0.25"/>
    <row r="3521" customFormat="1" ht="12.5" customHeight="1" x14ac:dyDescent="0.25"/>
    <row r="3522" customFormat="1" ht="12.5" customHeight="1" x14ac:dyDescent="0.25"/>
    <row r="3523" customFormat="1" ht="12.5" customHeight="1" x14ac:dyDescent="0.25"/>
    <row r="3524" customFormat="1" ht="12.5" customHeight="1" x14ac:dyDescent="0.25"/>
    <row r="3525" customFormat="1" ht="12.5" customHeight="1" x14ac:dyDescent="0.25"/>
    <row r="3526" customFormat="1" ht="12.5" customHeight="1" x14ac:dyDescent="0.25"/>
    <row r="3527" customFormat="1" ht="12.5" customHeight="1" x14ac:dyDescent="0.25"/>
    <row r="3528" customFormat="1" ht="12.5" customHeight="1" x14ac:dyDescent="0.25"/>
    <row r="3529" customFormat="1" ht="12.5" customHeight="1" x14ac:dyDescent="0.25"/>
    <row r="3530" customFormat="1" ht="12.5" customHeight="1" x14ac:dyDescent="0.25"/>
    <row r="3531" customFormat="1" ht="12.5" customHeight="1" x14ac:dyDescent="0.25"/>
    <row r="3532" customFormat="1" ht="12.5" customHeight="1" x14ac:dyDescent="0.25"/>
    <row r="3533" customFormat="1" ht="12.5" customHeight="1" x14ac:dyDescent="0.25"/>
    <row r="3534" customFormat="1" ht="12.5" customHeight="1" x14ac:dyDescent="0.25"/>
    <row r="3535" customFormat="1" ht="12.5" customHeight="1" x14ac:dyDescent="0.25"/>
    <row r="3536" customFormat="1" ht="12.5" customHeight="1" x14ac:dyDescent="0.25"/>
    <row r="3537" customFormat="1" ht="12.5" customHeight="1" x14ac:dyDescent="0.25"/>
    <row r="3538" customFormat="1" ht="12.5" customHeight="1" x14ac:dyDescent="0.25"/>
    <row r="3539" customFormat="1" ht="12.5" customHeight="1" x14ac:dyDescent="0.25"/>
    <row r="3540" customFormat="1" ht="12.5" customHeight="1" x14ac:dyDescent="0.25"/>
    <row r="3541" customFormat="1" ht="12.5" customHeight="1" x14ac:dyDescent="0.25"/>
    <row r="3542" customFormat="1" ht="12.5" customHeight="1" x14ac:dyDescent="0.25"/>
    <row r="3543" customFormat="1" ht="12.5" customHeight="1" x14ac:dyDescent="0.25"/>
    <row r="3544" customFormat="1" ht="12.5" customHeight="1" x14ac:dyDescent="0.25"/>
    <row r="3545" customFormat="1" ht="12.5" customHeight="1" x14ac:dyDescent="0.25"/>
    <row r="3546" customFormat="1" ht="12.5" customHeight="1" x14ac:dyDescent="0.25"/>
    <row r="3547" customFormat="1" ht="12.5" customHeight="1" x14ac:dyDescent="0.25"/>
    <row r="3548" customFormat="1" ht="12.5" customHeight="1" x14ac:dyDescent="0.25"/>
    <row r="3549" customFormat="1" ht="12.5" customHeight="1" x14ac:dyDescent="0.25"/>
    <row r="3550" customFormat="1" ht="12.5" customHeight="1" x14ac:dyDescent="0.25"/>
    <row r="3551" customFormat="1" ht="12.5" customHeight="1" x14ac:dyDescent="0.25"/>
    <row r="3552" customFormat="1" ht="12.5" customHeight="1" x14ac:dyDescent="0.25"/>
    <row r="3553" customFormat="1" ht="12.5" customHeight="1" x14ac:dyDescent="0.25"/>
    <row r="3554" customFormat="1" ht="12.5" customHeight="1" x14ac:dyDescent="0.25"/>
    <row r="3555" customFormat="1" ht="12.5" customHeight="1" x14ac:dyDescent="0.25"/>
    <row r="3556" customFormat="1" ht="12.5" customHeight="1" x14ac:dyDescent="0.25"/>
    <row r="3557" customFormat="1" ht="12.5" customHeight="1" x14ac:dyDescent="0.25"/>
    <row r="3558" customFormat="1" ht="12.5" customHeight="1" x14ac:dyDescent="0.25"/>
    <row r="3559" customFormat="1" ht="12.5" customHeight="1" x14ac:dyDescent="0.25"/>
    <row r="3560" customFormat="1" ht="12.5" customHeight="1" x14ac:dyDescent="0.25"/>
    <row r="3561" customFormat="1" ht="12.5" customHeight="1" x14ac:dyDescent="0.25"/>
    <row r="3562" customFormat="1" ht="12.5" customHeight="1" x14ac:dyDescent="0.25"/>
    <row r="3563" customFormat="1" ht="12.5" customHeight="1" x14ac:dyDescent="0.25"/>
    <row r="3564" customFormat="1" ht="12.5" customHeight="1" x14ac:dyDescent="0.25"/>
    <row r="3565" customFormat="1" ht="12.5" customHeight="1" x14ac:dyDescent="0.25"/>
    <row r="3566" customFormat="1" ht="12.5" customHeight="1" x14ac:dyDescent="0.25"/>
    <row r="3567" customFormat="1" ht="12.5" customHeight="1" x14ac:dyDescent="0.25"/>
    <row r="3568" customFormat="1" ht="12.5" customHeight="1" x14ac:dyDescent="0.25"/>
    <row r="3569" customFormat="1" ht="12.5" customHeight="1" x14ac:dyDescent="0.25"/>
    <row r="3570" customFormat="1" ht="12.5" customHeight="1" x14ac:dyDescent="0.25"/>
    <row r="3571" customFormat="1" ht="12.5" customHeight="1" x14ac:dyDescent="0.25"/>
    <row r="3572" customFormat="1" ht="12.5" customHeight="1" x14ac:dyDescent="0.25"/>
    <row r="3573" customFormat="1" ht="12.5" customHeight="1" x14ac:dyDescent="0.25"/>
    <row r="3574" customFormat="1" ht="12.5" customHeight="1" x14ac:dyDescent="0.25"/>
    <row r="3575" customFormat="1" ht="12.5" customHeight="1" x14ac:dyDescent="0.25"/>
    <row r="3576" customFormat="1" ht="12.5" customHeight="1" x14ac:dyDescent="0.25"/>
    <row r="3577" customFormat="1" ht="12.5" customHeight="1" x14ac:dyDescent="0.25"/>
    <row r="3578" customFormat="1" ht="12.5" customHeight="1" x14ac:dyDescent="0.25"/>
    <row r="3579" customFormat="1" ht="12.5" customHeight="1" x14ac:dyDescent="0.25"/>
    <row r="3580" customFormat="1" ht="12.5" customHeight="1" x14ac:dyDescent="0.25"/>
    <row r="3581" customFormat="1" ht="12.5" customHeight="1" x14ac:dyDescent="0.25"/>
    <row r="3582" customFormat="1" ht="12.5" customHeight="1" x14ac:dyDescent="0.25"/>
    <row r="3583" customFormat="1" ht="12.5" customHeight="1" x14ac:dyDescent="0.25"/>
    <row r="3584" customFormat="1" ht="12.5" customHeight="1" x14ac:dyDescent="0.25"/>
    <row r="3585" customFormat="1" ht="12.5" customHeight="1" x14ac:dyDescent="0.25"/>
    <row r="3586" customFormat="1" ht="12.5" customHeight="1" x14ac:dyDescent="0.25"/>
    <row r="3587" customFormat="1" ht="12.5" customHeight="1" x14ac:dyDescent="0.25"/>
    <row r="3588" customFormat="1" ht="12.5" customHeight="1" x14ac:dyDescent="0.25"/>
    <row r="3589" customFormat="1" ht="12.5" customHeight="1" x14ac:dyDescent="0.25"/>
    <row r="3590" customFormat="1" ht="12.5" customHeight="1" x14ac:dyDescent="0.25"/>
    <row r="3591" customFormat="1" ht="12.5" customHeight="1" x14ac:dyDescent="0.25"/>
    <row r="3592" customFormat="1" ht="12.5" customHeight="1" x14ac:dyDescent="0.25"/>
    <row r="3593" customFormat="1" ht="12.5" customHeight="1" x14ac:dyDescent="0.25"/>
    <row r="3594" customFormat="1" ht="12.5" customHeight="1" x14ac:dyDescent="0.25"/>
    <row r="3595" customFormat="1" ht="12.5" customHeight="1" x14ac:dyDescent="0.25"/>
    <row r="3596" customFormat="1" ht="12.5" customHeight="1" x14ac:dyDescent="0.25"/>
    <row r="3597" customFormat="1" ht="12.5" customHeight="1" x14ac:dyDescent="0.25"/>
    <row r="3598" customFormat="1" ht="12.5" customHeight="1" x14ac:dyDescent="0.25"/>
    <row r="3599" customFormat="1" ht="12.5" customHeight="1" x14ac:dyDescent="0.25"/>
    <row r="3600" customFormat="1" ht="12.5" customHeight="1" x14ac:dyDescent="0.25"/>
    <row r="3601" customFormat="1" ht="12.5" customHeight="1" x14ac:dyDescent="0.25"/>
    <row r="3602" customFormat="1" ht="12.5" customHeight="1" x14ac:dyDescent="0.25"/>
    <row r="3603" customFormat="1" ht="12.5" customHeight="1" x14ac:dyDescent="0.25"/>
    <row r="3604" customFormat="1" ht="12.5" customHeight="1" x14ac:dyDescent="0.25"/>
    <row r="3605" customFormat="1" ht="12.5" customHeight="1" x14ac:dyDescent="0.25"/>
    <row r="3606" customFormat="1" ht="12.5" customHeight="1" x14ac:dyDescent="0.25"/>
    <row r="3607" customFormat="1" ht="12.5" customHeight="1" x14ac:dyDescent="0.25"/>
    <row r="3608" customFormat="1" ht="12.5" customHeight="1" x14ac:dyDescent="0.25"/>
    <row r="3609" customFormat="1" ht="12.5" customHeight="1" x14ac:dyDescent="0.25"/>
    <row r="3610" customFormat="1" ht="12.5" customHeight="1" x14ac:dyDescent="0.25"/>
    <row r="3611" customFormat="1" ht="12.5" customHeight="1" x14ac:dyDescent="0.25"/>
    <row r="3612" customFormat="1" ht="12.5" customHeight="1" x14ac:dyDescent="0.25"/>
    <row r="3613" customFormat="1" ht="12.5" customHeight="1" x14ac:dyDescent="0.25"/>
    <row r="3614" customFormat="1" ht="12.5" customHeight="1" x14ac:dyDescent="0.25"/>
    <row r="3615" customFormat="1" ht="12.5" customHeight="1" x14ac:dyDescent="0.25"/>
    <row r="3616" customFormat="1" ht="12.5" customHeight="1" x14ac:dyDescent="0.25"/>
    <row r="3617" customFormat="1" ht="12.5" customHeight="1" x14ac:dyDescent="0.25"/>
    <row r="3618" customFormat="1" ht="12.5" customHeight="1" x14ac:dyDescent="0.25"/>
    <row r="3619" customFormat="1" ht="12.5" customHeight="1" x14ac:dyDescent="0.25"/>
    <row r="3620" customFormat="1" ht="12.5" customHeight="1" x14ac:dyDescent="0.25"/>
    <row r="3621" customFormat="1" ht="12.5" customHeight="1" x14ac:dyDescent="0.25"/>
    <row r="3622" customFormat="1" ht="12.5" customHeight="1" x14ac:dyDescent="0.25"/>
    <row r="3623" customFormat="1" ht="12.5" customHeight="1" x14ac:dyDescent="0.25"/>
    <row r="3624" customFormat="1" ht="12.5" customHeight="1" x14ac:dyDescent="0.25"/>
    <row r="3625" customFormat="1" ht="12.5" customHeight="1" x14ac:dyDescent="0.25"/>
    <row r="3626" customFormat="1" ht="12.5" customHeight="1" x14ac:dyDescent="0.25"/>
    <row r="3627" customFormat="1" ht="12.5" customHeight="1" x14ac:dyDescent="0.25"/>
    <row r="3628" customFormat="1" ht="12.5" customHeight="1" x14ac:dyDescent="0.25"/>
    <row r="3629" customFormat="1" ht="12.5" customHeight="1" x14ac:dyDescent="0.25"/>
    <row r="3630" customFormat="1" ht="12.5" customHeight="1" x14ac:dyDescent="0.25"/>
    <row r="3631" customFormat="1" ht="12.5" customHeight="1" x14ac:dyDescent="0.25"/>
    <row r="3632" customFormat="1" ht="12.5" customHeight="1" x14ac:dyDescent="0.25"/>
    <row r="3633" customFormat="1" ht="12.5" customHeight="1" x14ac:dyDescent="0.25"/>
    <row r="3634" customFormat="1" ht="12.5" customHeight="1" x14ac:dyDescent="0.25"/>
    <row r="3635" customFormat="1" ht="12.5" customHeight="1" x14ac:dyDescent="0.25"/>
    <row r="3636" customFormat="1" ht="12.5" customHeight="1" x14ac:dyDescent="0.25"/>
    <row r="3637" customFormat="1" ht="12.5" customHeight="1" x14ac:dyDescent="0.25"/>
    <row r="3638" customFormat="1" ht="12.5" customHeight="1" x14ac:dyDescent="0.25"/>
    <row r="3639" customFormat="1" ht="12.5" customHeight="1" x14ac:dyDescent="0.25"/>
    <row r="3640" customFormat="1" ht="12.5" customHeight="1" x14ac:dyDescent="0.25"/>
    <row r="3641" customFormat="1" ht="12.5" customHeight="1" x14ac:dyDescent="0.25"/>
    <row r="3642" customFormat="1" ht="12.5" customHeight="1" x14ac:dyDescent="0.25"/>
    <row r="3643" customFormat="1" ht="12.5" customHeight="1" x14ac:dyDescent="0.25"/>
    <row r="3644" customFormat="1" ht="12.5" customHeight="1" x14ac:dyDescent="0.25"/>
    <row r="3645" customFormat="1" ht="12.5" customHeight="1" x14ac:dyDescent="0.25"/>
    <row r="3646" customFormat="1" ht="12.5" customHeight="1" x14ac:dyDescent="0.25"/>
    <row r="3647" customFormat="1" ht="12.5" customHeight="1" x14ac:dyDescent="0.25"/>
    <row r="3648" customFormat="1" ht="12.5" customHeight="1" x14ac:dyDescent="0.25"/>
    <row r="3649" customFormat="1" ht="12.5" customHeight="1" x14ac:dyDescent="0.25"/>
    <row r="3650" customFormat="1" ht="12.5" customHeight="1" x14ac:dyDescent="0.25"/>
    <row r="3651" customFormat="1" ht="12.5" customHeight="1" x14ac:dyDescent="0.25"/>
    <row r="3652" customFormat="1" ht="12.5" customHeight="1" x14ac:dyDescent="0.25"/>
    <row r="3653" customFormat="1" ht="12.5" customHeight="1" x14ac:dyDescent="0.25"/>
    <row r="3654" customFormat="1" ht="12.5" customHeight="1" x14ac:dyDescent="0.25"/>
    <row r="3655" customFormat="1" ht="12.5" customHeight="1" x14ac:dyDescent="0.25"/>
    <row r="3656" customFormat="1" ht="12.5" customHeight="1" x14ac:dyDescent="0.25"/>
    <row r="3657" customFormat="1" ht="12.5" customHeight="1" x14ac:dyDescent="0.25"/>
    <row r="3658" customFormat="1" ht="12.5" customHeight="1" x14ac:dyDescent="0.25"/>
    <row r="3659" customFormat="1" ht="12.5" customHeight="1" x14ac:dyDescent="0.25"/>
    <row r="3660" customFormat="1" ht="12.5" customHeight="1" x14ac:dyDescent="0.25"/>
    <row r="3661" customFormat="1" ht="12.5" customHeight="1" x14ac:dyDescent="0.25"/>
    <row r="3662" customFormat="1" ht="12.5" customHeight="1" x14ac:dyDescent="0.25"/>
    <row r="3663" customFormat="1" ht="12.5" customHeight="1" x14ac:dyDescent="0.25"/>
    <row r="3664" customFormat="1" ht="12.5" customHeight="1" x14ac:dyDescent="0.25"/>
    <row r="3665" customFormat="1" ht="12.5" customHeight="1" x14ac:dyDescent="0.25"/>
    <row r="3666" customFormat="1" ht="12.5" customHeight="1" x14ac:dyDescent="0.25"/>
    <row r="3667" customFormat="1" ht="12.5" customHeight="1" x14ac:dyDescent="0.25"/>
    <row r="3668" customFormat="1" ht="12.5" customHeight="1" x14ac:dyDescent="0.25"/>
    <row r="3669" customFormat="1" ht="12.5" customHeight="1" x14ac:dyDescent="0.25"/>
    <row r="3670" customFormat="1" ht="12.5" customHeight="1" x14ac:dyDescent="0.25"/>
    <row r="3671" customFormat="1" ht="12.5" customHeight="1" x14ac:dyDescent="0.25"/>
    <row r="3672" customFormat="1" ht="12.5" customHeight="1" x14ac:dyDescent="0.25"/>
    <row r="3673" customFormat="1" ht="12.5" customHeight="1" x14ac:dyDescent="0.25"/>
    <row r="3674" customFormat="1" ht="12.5" customHeight="1" x14ac:dyDescent="0.25"/>
    <row r="3675" customFormat="1" ht="12.5" customHeight="1" x14ac:dyDescent="0.25"/>
    <row r="3676" customFormat="1" ht="12.5" customHeight="1" x14ac:dyDescent="0.25"/>
    <row r="3677" customFormat="1" ht="12.5" customHeight="1" x14ac:dyDescent="0.25"/>
    <row r="3678" customFormat="1" ht="12.5" customHeight="1" x14ac:dyDescent="0.25"/>
    <row r="3679" customFormat="1" ht="12.5" customHeight="1" x14ac:dyDescent="0.25"/>
    <row r="3680" customFormat="1" ht="12.5" customHeight="1" x14ac:dyDescent="0.25"/>
    <row r="3681" customFormat="1" ht="12.5" customHeight="1" x14ac:dyDescent="0.25"/>
    <row r="3682" customFormat="1" ht="12.5" customHeight="1" x14ac:dyDescent="0.25"/>
    <row r="3683" customFormat="1" ht="12.5" customHeight="1" x14ac:dyDescent="0.25"/>
    <row r="3684" customFormat="1" ht="12.5" customHeight="1" x14ac:dyDescent="0.25"/>
    <row r="3685" customFormat="1" ht="12.5" customHeight="1" x14ac:dyDescent="0.25"/>
    <row r="3686" customFormat="1" ht="12.5" customHeight="1" x14ac:dyDescent="0.25"/>
    <row r="3687" customFormat="1" ht="12.5" customHeight="1" x14ac:dyDescent="0.25"/>
    <row r="3688" customFormat="1" ht="12.5" customHeight="1" x14ac:dyDescent="0.25"/>
    <row r="3689" customFormat="1" ht="12.5" customHeight="1" x14ac:dyDescent="0.25"/>
    <row r="3690" customFormat="1" ht="12.5" customHeight="1" x14ac:dyDescent="0.25"/>
    <row r="3691" customFormat="1" ht="12.5" customHeight="1" x14ac:dyDescent="0.25"/>
    <row r="3692" customFormat="1" ht="12.5" customHeight="1" x14ac:dyDescent="0.25"/>
    <row r="3693" customFormat="1" ht="12.5" customHeight="1" x14ac:dyDescent="0.25"/>
    <row r="3694" customFormat="1" ht="12.5" customHeight="1" x14ac:dyDescent="0.25"/>
    <row r="3695" customFormat="1" ht="12.5" customHeight="1" x14ac:dyDescent="0.25"/>
    <row r="3696" customFormat="1" ht="12.5" customHeight="1" x14ac:dyDescent="0.25"/>
    <row r="3697" customFormat="1" ht="12.5" customHeight="1" x14ac:dyDescent="0.25"/>
    <row r="3698" customFormat="1" ht="12.5" customHeight="1" x14ac:dyDescent="0.25"/>
    <row r="3699" customFormat="1" ht="12.5" customHeight="1" x14ac:dyDescent="0.25"/>
    <row r="3700" customFormat="1" ht="12.5" customHeight="1" x14ac:dyDescent="0.25"/>
    <row r="3701" customFormat="1" ht="12.5" customHeight="1" x14ac:dyDescent="0.25"/>
    <row r="3702" customFormat="1" ht="12.5" customHeight="1" x14ac:dyDescent="0.25"/>
    <row r="3703" customFormat="1" ht="12.5" customHeight="1" x14ac:dyDescent="0.25"/>
    <row r="3704" customFormat="1" ht="12.5" customHeight="1" x14ac:dyDescent="0.25"/>
    <row r="3705" customFormat="1" ht="12.5" customHeight="1" x14ac:dyDescent="0.25"/>
    <row r="3706" customFormat="1" ht="12.5" customHeight="1" x14ac:dyDescent="0.25"/>
    <row r="3707" customFormat="1" ht="12.5" customHeight="1" x14ac:dyDescent="0.25"/>
    <row r="3708" customFormat="1" ht="12.5" customHeight="1" x14ac:dyDescent="0.25"/>
    <row r="3709" customFormat="1" ht="12.5" customHeight="1" x14ac:dyDescent="0.25"/>
    <row r="3710" customFormat="1" ht="12.5" customHeight="1" x14ac:dyDescent="0.25"/>
    <row r="3711" customFormat="1" ht="12.5" customHeight="1" x14ac:dyDescent="0.25"/>
    <row r="3712" customFormat="1" ht="12.5" customHeight="1" x14ac:dyDescent="0.25"/>
    <row r="3713" customFormat="1" ht="12.5" customHeight="1" x14ac:dyDescent="0.25"/>
    <row r="3714" customFormat="1" ht="12.5" customHeight="1" x14ac:dyDescent="0.25"/>
    <row r="3715" customFormat="1" ht="12.5" customHeight="1" x14ac:dyDescent="0.25"/>
    <row r="3716" customFormat="1" ht="12.5" customHeight="1" x14ac:dyDescent="0.25"/>
    <row r="3717" customFormat="1" ht="12.5" customHeight="1" x14ac:dyDescent="0.25"/>
    <row r="3718" customFormat="1" ht="12.5" customHeight="1" x14ac:dyDescent="0.25"/>
    <row r="3719" customFormat="1" ht="12.5" customHeight="1" x14ac:dyDescent="0.25"/>
    <row r="3720" customFormat="1" ht="12.5" customHeight="1" x14ac:dyDescent="0.25"/>
    <row r="3721" customFormat="1" ht="12.5" customHeight="1" x14ac:dyDescent="0.25"/>
    <row r="3722" customFormat="1" ht="12.5" customHeight="1" x14ac:dyDescent="0.25"/>
    <row r="3723" customFormat="1" ht="12.5" customHeight="1" x14ac:dyDescent="0.25"/>
    <row r="3724" customFormat="1" ht="12.5" customHeight="1" x14ac:dyDescent="0.25"/>
    <row r="3725" customFormat="1" ht="12.5" customHeight="1" x14ac:dyDescent="0.25"/>
    <row r="3726" customFormat="1" ht="12.5" customHeight="1" x14ac:dyDescent="0.25"/>
    <row r="3727" customFormat="1" ht="12.5" customHeight="1" x14ac:dyDescent="0.25"/>
    <row r="3728" customFormat="1" ht="12.5" customHeight="1" x14ac:dyDescent="0.25"/>
    <row r="3729" customFormat="1" ht="12.5" customHeight="1" x14ac:dyDescent="0.25"/>
    <row r="3730" customFormat="1" ht="12.5" customHeight="1" x14ac:dyDescent="0.25"/>
    <row r="3731" customFormat="1" ht="12.5" customHeight="1" x14ac:dyDescent="0.25"/>
    <row r="3732" customFormat="1" ht="12.5" customHeight="1" x14ac:dyDescent="0.25"/>
    <row r="3733" customFormat="1" ht="12.5" customHeight="1" x14ac:dyDescent="0.25"/>
    <row r="3734" customFormat="1" ht="12.5" customHeight="1" x14ac:dyDescent="0.25"/>
    <row r="3735" customFormat="1" ht="12.5" customHeight="1" x14ac:dyDescent="0.25"/>
    <row r="3736" customFormat="1" ht="12.5" customHeight="1" x14ac:dyDescent="0.25"/>
    <row r="3737" customFormat="1" ht="12.5" customHeight="1" x14ac:dyDescent="0.25"/>
    <row r="3738" customFormat="1" ht="12.5" customHeight="1" x14ac:dyDescent="0.25"/>
    <row r="3739" customFormat="1" ht="12.5" customHeight="1" x14ac:dyDescent="0.25"/>
    <row r="3740" customFormat="1" ht="12.5" customHeight="1" x14ac:dyDescent="0.25"/>
    <row r="3741" customFormat="1" ht="12.5" customHeight="1" x14ac:dyDescent="0.25"/>
    <row r="3742" customFormat="1" ht="12.5" customHeight="1" x14ac:dyDescent="0.25"/>
    <row r="3743" customFormat="1" ht="12.5" customHeight="1" x14ac:dyDescent="0.25"/>
    <row r="3744" customFormat="1" ht="12.5" customHeight="1" x14ac:dyDescent="0.25"/>
    <row r="3745" customFormat="1" ht="12.5" customHeight="1" x14ac:dyDescent="0.25"/>
    <row r="3746" customFormat="1" ht="12.5" customHeight="1" x14ac:dyDescent="0.25"/>
    <row r="3747" customFormat="1" ht="12.5" customHeight="1" x14ac:dyDescent="0.25"/>
    <row r="3748" customFormat="1" ht="12.5" customHeight="1" x14ac:dyDescent="0.25"/>
    <row r="3749" customFormat="1" ht="12.5" customHeight="1" x14ac:dyDescent="0.25"/>
    <row r="3750" customFormat="1" ht="12.5" customHeight="1" x14ac:dyDescent="0.25"/>
    <row r="3751" customFormat="1" ht="12.5" customHeight="1" x14ac:dyDescent="0.25"/>
    <row r="3752" customFormat="1" ht="12.5" customHeight="1" x14ac:dyDescent="0.25"/>
    <row r="3753" customFormat="1" ht="12.5" customHeight="1" x14ac:dyDescent="0.25"/>
    <row r="3754" customFormat="1" ht="12.5" customHeight="1" x14ac:dyDescent="0.25"/>
    <row r="3755" customFormat="1" ht="12.5" customHeight="1" x14ac:dyDescent="0.25"/>
    <row r="3756" customFormat="1" ht="12.5" customHeight="1" x14ac:dyDescent="0.25"/>
    <row r="3757" customFormat="1" ht="12.5" customHeight="1" x14ac:dyDescent="0.25"/>
    <row r="3758" customFormat="1" ht="12.5" customHeight="1" x14ac:dyDescent="0.25"/>
    <row r="3759" customFormat="1" ht="12.5" customHeight="1" x14ac:dyDescent="0.25"/>
    <row r="3760" customFormat="1" ht="12.5" customHeight="1" x14ac:dyDescent="0.25"/>
    <row r="3761" customFormat="1" ht="12.5" customHeight="1" x14ac:dyDescent="0.25"/>
    <row r="3762" customFormat="1" ht="12.5" customHeight="1" x14ac:dyDescent="0.25"/>
    <row r="3763" customFormat="1" ht="12.5" customHeight="1" x14ac:dyDescent="0.25"/>
    <row r="3764" customFormat="1" ht="12.5" customHeight="1" x14ac:dyDescent="0.25"/>
    <row r="3765" customFormat="1" ht="12.5" customHeight="1" x14ac:dyDescent="0.25"/>
    <row r="3766" customFormat="1" ht="12.5" customHeight="1" x14ac:dyDescent="0.25"/>
    <row r="3767" customFormat="1" ht="12.5" customHeight="1" x14ac:dyDescent="0.25"/>
    <row r="3768" customFormat="1" ht="12.5" customHeight="1" x14ac:dyDescent="0.25"/>
    <row r="3769" customFormat="1" ht="12.5" customHeight="1" x14ac:dyDescent="0.25"/>
    <row r="3770" customFormat="1" ht="12.5" customHeight="1" x14ac:dyDescent="0.25"/>
    <row r="3771" customFormat="1" ht="12.5" customHeight="1" x14ac:dyDescent="0.25"/>
    <row r="3772" customFormat="1" ht="12.5" customHeight="1" x14ac:dyDescent="0.25"/>
    <row r="3773" customFormat="1" ht="12.5" customHeight="1" x14ac:dyDescent="0.25"/>
    <row r="3774" customFormat="1" ht="12.5" customHeight="1" x14ac:dyDescent="0.25"/>
    <row r="3775" customFormat="1" ht="12.5" customHeight="1" x14ac:dyDescent="0.25"/>
    <row r="3776" customFormat="1" ht="12.5" customHeight="1" x14ac:dyDescent="0.25"/>
    <row r="3777" customFormat="1" ht="12.5" customHeight="1" x14ac:dyDescent="0.25"/>
    <row r="3778" customFormat="1" ht="12.5" customHeight="1" x14ac:dyDescent="0.25"/>
    <row r="3779" customFormat="1" ht="12.5" customHeight="1" x14ac:dyDescent="0.25"/>
    <row r="3780" customFormat="1" ht="12.5" customHeight="1" x14ac:dyDescent="0.25"/>
    <row r="3781" customFormat="1" ht="12.5" customHeight="1" x14ac:dyDescent="0.25"/>
    <row r="3782" customFormat="1" ht="12.5" customHeight="1" x14ac:dyDescent="0.25"/>
    <row r="3783" customFormat="1" ht="12.5" customHeight="1" x14ac:dyDescent="0.25"/>
    <row r="3784" customFormat="1" ht="12.5" customHeight="1" x14ac:dyDescent="0.25"/>
    <row r="3785" customFormat="1" ht="12.5" customHeight="1" x14ac:dyDescent="0.25"/>
    <row r="3786" customFormat="1" ht="12.5" customHeight="1" x14ac:dyDescent="0.25"/>
    <row r="3787" customFormat="1" ht="12.5" customHeight="1" x14ac:dyDescent="0.25"/>
    <row r="3788" customFormat="1" ht="12.5" customHeight="1" x14ac:dyDescent="0.25"/>
    <row r="3789" customFormat="1" ht="12.5" customHeight="1" x14ac:dyDescent="0.25"/>
    <row r="3790" customFormat="1" ht="12.5" customHeight="1" x14ac:dyDescent="0.25"/>
    <row r="3791" customFormat="1" ht="12.5" customHeight="1" x14ac:dyDescent="0.25"/>
    <row r="3792" customFormat="1" ht="12.5" customHeight="1" x14ac:dyDescent="0.25"/>
    <row r="3793" customFormat="1" ht="12.5" customHeight="1" x14ac:dyDescent="0.25"/>
    <row r="3794" customFormat="1" ht="12.5" customHeight="1" x14ac:dyDescent="0.25"/>
    <row r="3795" customFormat="1" ht="12.5" customHeight="1" x14ac:dyDescent="0.25"/>
    <row r="3796" customFormat="1" ht="12.5" customHeight="1" x14ac:dyDescent="0.25"/>
    <row r="3797" customFormat="1" ht="12.5" customHeight="1" x14ac:dyDescent="0.25"/>
    <row r="3798" customFormat="1" ht="12.5" customHeight="1" x14ac:dyDescent="0.25"/>
    <row r="3799" customFormat="1" ht="12.5" customHeight="1" x14ac:dyDescent="0.25"/>
    <row r="3800" customFormat="1" ht="12.5" customHeight="1" x14ac:dyDescent="0.25"/>
    <row r="3801" customFormat="1" ht="12.5" customHeight="1" x14ac:dyDescent="0.25"/>
    <row r="3802" customFormat="1" ht="12.5" customHeight="1" x14ac:dyDescent="0.25"/>
    <row r="3803" customFormat="1" ht="12.5" customHeight="1" x14ac:dyDescent="0.25"/>
    <row r="3804" customFormat="1" ht="12.5" customHeight="1" x14ac:dyDescent="0.25"/>
    <row r="3805" customFormat="1" ht="12.5" customHeight="1" x14ac:dyDescent="0.25"/>
    <row r="3806" customFormat="1" ht="12.5" customHeight="1" x14ac:dyDescent="0.25"/>
    <row r="3807" customFormat="1" ht="12.5" customHeight="1" x14ac:dyDescent="0.25"/>
    <row r="3808" customFormat="1" ht="12.5" customHeight="1" x14ac:dyDescent="0.25"/>
    <row r="3809" customFormat="1" ht="12.5" customHeight="1" x14ac:dyDescent="0.25"/>
    <row r="3810" customFormat="1" ht="12.5" customHeight="1" x14ac:dyDescent="0.25"/>
    <row r="3811" customFormat="1" ht="12.5" customHeight="1" x14ac:dyDescent="0.25"/>
    <row r="3812" customFormat="1" ht="12.5" customHeight="1" x14ac:dyDescent="0.25"/>
    <row r="3813" customFormat="1" ht="12.5" customHeight="1" x14ac:dyDescent="0.25"/>
    <row r="3814" customFormat="1" ht="12.5" customHeight="1" x14ac:dyDescent="0.25"/>
    <row r="3815" customFormat="1" ht="12.5" customHeight="1" x14ac:dyDescent="0.25"/>
    <row r="3816" customFormat="1" ht="12.5" customHeight="1" x14ac:dyDescent="0.25"/>
    <row r="3817" customFormat="1" ht="12.5" customHeight="1" x14ac:dyDescent="0.25"/>
    <row r="3818" customFormat="1" ht="12.5" customHeight="1" x14ac:dyDescent="0.25"/>
    <row r="3819" customFormat="1" ht="12.5" customHeight="1" x14ac:dyDescent="0.25"/>
    <row r="3820" customFormat="1" ht="12.5" customHeight="1" x14ac:dyDescent="0.25"/>
    <row r="3821" customFormat="1" ht="12.5" customHeight="1" x14ac:dyDescent="0.25"/>
    <row r="3822" customFormat="1" ht="12.5" customHeight="1" x14ac:dyDescent="0.25"/>
    <row r="3823" customFormat="1" ht="12.5" customHeight="1" x14ac:dyDescent="0.25"/>
    <row r="3824" customFormat="1" ht="12.5" customHeight="1" x14ac:dyDescent="0.25"/>
    <row r="3825" customFormat="1" ht="12.5" customHeight="1" x14ac:dyDescent="0.25"/>
    <row r="3826" customFormat="1" ht="12.5" customHeight="1" x14ac:dyDescent="0.25"/>
    <row r="3827" customFormat="1" ht="12.5" customHeight="1" x14ac:dyDescent="0.25"/>
    <row r="3828" customFormat="1" ht="12.5" customHeight="1" x14ac:dyDescent="0.25"/>
    <row r="3829" customFormat="1" ht="12.5" customHeight="1" x14ac:dyDescent="0.25"/>
    <row r="3830" customFormat="1" ht="12.5" customHeight="1" x14ac:dyDescent="0.25"/>
    <row r="3831" customFormat="1" ht="12.5" customHeight="1" x14ac:dyDescent="0.25"/>
    <row r="3832" customFormat="1" ht="12.5" customHeight="1" x14ac:dyDescent="0.25"/>
    <row r="3833" customFormat="1" ht="12.5" customHeight="1" x14ac:dyDescent="0.25"/>
    <row r="3834" customFormat="1" ht="12.5" customHeight="1" x14ac:dyDescent="0.25"/>
    <row r="3835" customFormat="1" ht="12.5" customHeight="1" x14ac:dyDescent="0.25"/>
    <row r="3836" customFormat="1" ht="12.5" customHeight="1" x14ac:dyDescent="0.25"/>
    <row r="3837" customFormat="1" ht="12.5" customHeight="1" x14ac:dyDescent="0.25"/>
    <row r="3838" customFormat="1" ht="12.5" customHeight="1" x14ac:dyDescent="0.25"/>
    <row r="3839" customFormat="1" ht="12.5" customHeight="1" x14ac:dyDescent="0.25"/>
    <row r="3840" customFormat="1" ht="12.5" customHeight="1" x14ac:dyDescent="0.25"/>
    <row r="3841" customFormat="1" ht="12.5" customHeight="1" x14ac:dyDescent="0.25"/>
    <row r="3842" customFormat="1" ht="12.5" customHeight="1" x14ac:dyDescent="0.25"/>
    <row r="3843" customFormat="1" ht="12.5" customHeight="1" x14ac:dyDescent="0.25"/>
    <row r="3844" customFormat="1" ht="12.5" customHeight="1" x14ac:dyDescent="0.25"/>
    <row r="3845" customFormat="1" ht="12.5" customHeight="1" x14ac:dyDescent="0.25"/>
    <row r="3846" customFormat="1" ht="12.5" customHeight="1" x14ac:dyDescent="0.25"/>
    <row r="3847" customFormat="1" ht="12.5" customHeight="1" x14ac:dyDescent="0.25"/>
    <row r="3848" customFormat="1" ht="12.5" customHeight="1" x14ac:dyDescent="0.25"/>
    <row r="3849" customFormat="1" ht="12.5" customHeight="1" x14ac:dyDescent="0.25"/>
    <row r="3850" customFormat="1" ht="12.5" customHeight="1" x14ac:dyDescent="0.25"/>
    <row r="3851" customFormat="1" ht="12.5" customHeight="1" x14ac:dyDescent="0.25"/>
    <row r="3852" customFormat="1" ht="12.5" customHeight="1" x14ac:dyDescent="0.25"/>
    <row r="3853" customFormat="1" ht="12.5" customHeight="1" x14ac:dyDescent="0.25"/>
    <row r="3854" customFormat="1" ht="12.5" customHeight="1" x14ac:dyDescent="0.25"/>
    <row r="3855" customFormat="1" ht="12.5" customHeight="1" x14ac:dyDescent="0.25"/>
    <row r="3856" customFormat="1" ht="12.5" customHeight="1" x14ac:dyDescent="0.25"/>
    <row r="3857" customFormat="1" ht="12.5" customHeight="1" x14ac:dyDescent="0.25"/>
    <row r="3858" customFormat="1" ht="12.5" customHeight="1" x14ac:dyDescent="0.25"/>
    <row r="3859" customFormat="1" ht="12.5" customHeight="1" x14ac:dyDescent="0.25"/>
    <row r="3860" customFormat="1" ht="12.5" customHeight="1" x14ac:dyDescent="0.25"/>
    <row r="3861" customFormat="1" ht="12.5" customHeight="1" x14ac:dyDescent="0.25"/>
    <row r="3862" customFormat="1" ht="12.5" customHeight="1" x14ac:dyDescent="0.25"/>
    <row r="3863" customFormat="1" ht="12.5" customHeight="1" x14ac:dyDescent="0.25"/>
    <row r="3864" customFormat="1" ht="12.5" customHeight="1" x14ac:dyDescent="0.25"/>
    <row r="3865" customFormat="1" ht="12.5" customHeight="1" x14ac:dyDescent="0.25"/>
    <row r="3866" customFormat="1" ht="12.5" customHeight="1" x14ac:dyDescent="0.25"/>
    <row r="3867" customFormat="1" ht="12.5" customHeight="1" x14ac:dyDescent="0.25"/>
    <row r="3868" customFormat="1" ht="12.5" customHeight="1" x14ac:dyDescent="0.25"/>
    <row r="3869" customFormat="1" ht="12.5" customHeight="1" x14ac:dyDescent="0.25"/>
    <row r="3870" customFormat="1" ht="12.5" customHeight="1" x14ac:dyDescent="0.25"/>
    <row r="3871" customFormat="1" ht="12.5" customHeight="1" x14ac:dyDescent="0.25"/>
    <row r="3872" customFormat="1" ht="12.5" customHeight="1" x14ac:dyDescent="0.25"/>
    <row r="3873" customFormat="1" ht="12.5" customHeight="1" x14ac:dyDescent="0.25"/>
    <row r="3874" customFormat="1" ht="12.5" customHeight="1" x14ac:dyDescent="0.25"/>
    <row r="3875" customFormat="1" ht="12.5" customHeight="1" x14ac:dyDescent="0.25"/>
    <row r="3876" customFormat="1" ht="12.5" customHeight="1" x14ac:dyDescent="0.25"/>
    <row r="3877" customFormat="1" ht="12.5" customHeight="1" x14ac:dyDescent="0.25"/>
    <row r="3878" customFormat="1" ht="12.5" customHeight="1" x14ac:dyDescent="0.25"/>
    <row r="3879" customFormat="1" ht="12.5" customHeight="1" x14ac:dyDescent="0.25"/>
    <row r="3880" customFormat="1" ht="12.5" customHeight="1" x14ac:dyDescent="0.25"/>
    <row r="3881" customFormat="1" ht="12.5" customHeight="1" x14ac:dyDescent="0.25"/>
    <row r="3882" customFormat="1" ht="12.5" customHeight="1" x14ac:dyDescent="0.25"/>
    <row r="3883" customFormat="1" ht="12.5" customHeight="1" x14ac:dyDescent="0.25"/>
    <row r="3884" customFormat="1" ht="12.5" customHeight="1" x14ac:dyDescent="0.25"/>
    <row r="3885" customFormat="1" ht="12.5" customHeight="1" x14ac:dyDescent="0.25"/>
    <row r="3886" customFormat="1" ht="12.5" customHeight="1" x14ac:dyDescent="0.25"/>
    <row r="3887" customFormat="1" ht="12.5" customHeight="1" x14ac:dyDescent="0.25"/>
    <row r="3888" customFormat="1" ht="12.5" customHeight="1" x14ac:dyDescent="0.25"/>
    <row r="3889" customFormat="1" ht="12.5" customHeight="1" x14ac:dyDescent="0.25"/>
    <row r="3890" customFormat="1" ht="12.5" customHeight="1" x14ac:dyDescent="0.25"/>
    <row r="3891" customFormat="1" ht="12.5" customHeight="1" x14ac:dyDescent="0.25"/>
    <row r="3892" customFormat="1" ht="12.5" customHeight="1" x14ac:dyDescent="0.25"/>
    <row r="3893" customFormat="1" ht="12.5" customHeight="1" x14ac:dyDescent="0.25"/>
    <row r="3894" customFormat="1" ht="12.5" customHeight="1" x14ac:dyDescent="0.25"/>
    <row r="3895" customFormat="1" ht="12.5" customHeight="1" x14ac:dyDescent="0.25"/>
    <row r="3896" customFormat="1" ht="12.5" customHeight="1" x14ac:dyDescent="0.25"/>
    <row r="3897" customFormat="1" ht="12.5" customHeight="1" x14ac:dyDescent="0.25"/>
    <row r="3898" customFormat="1" ht="12.5" customHeight="1" x14ac:dyDescent="0.25"/>
    <row r="3899" customFormat="1" ht="12.5" customHeight="1" x14ac:dyDescent="0.25"/>
    <row r="3900" customFormat="1" ht="12.5" customHeight="1" x14ac:dyDescent="0.25"/>
    <row r="3901" customFormat="1" ht="12.5" customHeight="1" x14ac:dyDescent="0.25"/>
    <row r="3902" customFormat="1" ht="12.5" customHeight="1" x14ac:dyDescent="0.25"/>
    <row r="3903" customFormat="1" ht="12.5" customHeight="1" x14ac:dyDescent="0.25"/>
    <row r="3904" customFormat="1" ht="12.5" customHeight="1" x14ac:dyDescent="0.25"/>
    <row r="3905" customFormat="1" ht="12.5" customHeight="1" x14ac:dyDescent="0.25"/>
    <row r="3906" customFormat="1" ht="12.5" customHeight="1" x14ac:dyDescent="0.25"/>
    <row r="3907" customFormat="1" ht="12.5" customHeight="1" x14ac:dyDescent="0.25"/>
    <row r="3908" customFormat="1" ht="12.5" customHeight="1" x14ac:dyDescent="0.25"/>
    <row r="3909" customFormat="1" ht="12.5" customHeight="1" x14ac:dyDescent="0.25"/>
    <row r="3910" customFormat="1" ht="12.5" customHeight="1" x14ac:dyDescent="0.25"/>
    <row r="3911" customFormat="1" ht="12.5" customHeight="1" x14ac:dyDescent="0.25"/>
    <row r="3912" customFormat="1" ht="12.5" customHeight="1" x14ac:dyDescent="0.25"/>
    <row r="3913" customFormat="1" ht="12.5" customHeight="1" x14ac:dyDescent="0.25"/>
    <row r="3914" customFormat="1" ht="12.5" customHeight="1" x14ac:dyDescent="0.25"/>
    <row r="3915" customFormat="1" ht="12.5" customHeight="1" x14ac:dyDescent="0.25"/>
    <row r="3916" customFormat="1" ht="12.5" customHeight="1" x14ac:dyDescent="0.25"/>
    <row r="3917" customFormat="1" ht="12.5" customHeight="1" x14ac:dyDescent="0.25"/>
    <row r="3918" customFormat="1" ht="12.5" customHeight="1" x14ac:dyDescent="0.25"/>
    <row r="3919" customFormat="1" ht="12.5" customHeight="1" x14ac:dyDescent="0.25"/>
    <row r="3920" customFormat="1" ht="12.5" customHeight="1" x14ac:dyDescent="0.25"/>
    <row r="3921" customFormat="1" ht="12.5" customHeight="1" x14ac:dyDescent="0.25"/>
    <row r="3922" customFormat="1" ht="12.5" customHeight="1" x14ac:dyDescent="0.25"/>
    <row r="3923" customFormat="1" ht="12.5" customHeight="1" x14ac:dyDescent="0.25"/>
    <row r="3924" customFormat="1" ht="12.5" customHeight="1" x14ac:dyDescent="0.25"/>
    <row r="3925" customFormat="1" ht="12.5" customHeight="1" x14ac:dyDescent="0.25"/>
    <row r="3926" customFormat="1" ht="12.5" customHeight="1" x14ac:dyDescent="0.25"/>
    <row r="3927" customFormat="1" ht="12.5" customHeight="1" x14ac:dyDescent="0.25"/>
    <row r="3928" customFormat="1" ht="12.5" customHeight="1" x14ac:dyDescent="0.25"/>
    <row r="3929" customFormat="1" ht="12.5" customHeight="1" x14ac:dyDescent="0.25"/>
    <row r="3930" customFormat="1" ht="12.5" customHeight="1" x14ac:dyDescent="0.25"/>
    <row r="3931" customFormat="1" ht="12.5" customHeight="1" x14ac:dyDescent="0.25"/>
    <row r="3932" customFormat="1" ht="12.5" customHeight="1" x14ac:dyDescent="0.25"/>
    <row r="3933" customFormat="1" ht="12.5" customHeight="1" x14ac:dyDescent="0.25"/>
    <row r="3934" customFormat="1" ht="12.5" customHeight="1" x14ac:dyDescent="0.25"/>
    <row r="3935" customFormat="1" ht="12.5" customHeight="1" x14ac:dyDescent="0.25"/>
    <row r="3936" customFormat="1" ht="12.5" customHeight="1" x14ac:dyDescent="0.25"/>
    <row r="3937" customFormat="1" ht="12.5" customHeight="1" x14ac:dyDescent="0.25"/>
    <row r="3938" customFormat="1" ht="12.5" customHeight="1" x14ac:dyDescent="0.25"/>
    <row r="3939" customFormat="1" ht="12.5" customHeight="1" x14ac:dyDescent="0.25"/>
    <row r="3940" customFormat="1" ht="12.5" customHeight="1" x14ac:dyDescent="0.25"/>
    <row r="3941" customFormat="1" ht="12.5" customHeight="1" x14ac:dyDescent="0.25"/>
    <row r="3942" customFormat="1" ht="12.5" customHeight="1" x14ac:dyDescent="0.25"/>
    <row r="3943" customFormat="1" ht="12.5" customHeight="1" x14ac:dyDescent="0.25"/>
    <row r="3944" customFormat="1" ht="12.5" customHeight="1" x14ac:dyDescent="0.25"/>
    <row r="3945" customFormat="1" ht="12.5" customHeight="1" x14ac:dyDescent="0.25"/>
    <row r="3946" customFormat="1" ht="12.5" customHeight="1" x14ac:dyDescent="0.25"/>
    <row r="3947" customFormat="1" ht="12.5" customHeight="1" x14ac:dyDescent="0.25"/>
    <row r="3948" customFormat="1" ht="12.5" customHeight="1" x14ac:dyDescent="0.25"/>
    <row r="3949" customFormat="1" ht="12.5" customHeight="1" x14ac:dyDescent="0.25"/>
    <row r="3950" customFormat="1" ht="12.5" customHeight="1" x14ac:dyDescent="0.25"/>
    <row r="3951" customFormat="1" ht="12.5" customHeight="1" x14ac:dyDescent="0.25"/>
    <row r="3952" customFormat="1" ht="12.5" customHeight="1" x14ac:dyDescent="0.25"/>
    <row r="3953" customFormat="1" ht="12.5" customHeight="1" x14ac:dyDescent="0.25"/>
    <row r="3954" customFormat="1" ht="12.5" customHeight="1" x14ac:dyDescent="0.25"/>
    <row r="3955" customFormat="1" ht="12.5" customHeight="1" x14ac:dyDescent="0.25"/>
    <row r="3956" customFormat="1" ht="12.5" customHeight="1" x14ac:dyDescent="0.25"/>
    <row r="3957" customFormat="1" ht="12.5" customHeight="1" x14ac:dyDescent="0.25"/>
    <row r="3958" customFormat="1" ht="12.5" customHeight="1" x14ac:dyDescent="0.25"/>
    <row r="3959" customFormat="1" ht="12.5" customHeight="1" x14ac:dyDescent="0.25"/>
    <row r="3960" customFormat="1" ht="12.5" customHeight="1" x14ac:dyDescent="0.25"/>
    <row r="3961" customFormat="1" ht="12.5" customHeight="1" x14ac:dyDescent="0.25"/>
    <row r="3962" customFormat="1" ht="12.5" customHeight="1" x14ac:dyDescent="0.25"/>
    <row r="3963" customFormat="1" ht="12.5" customHeight="1" x14ac:dyDescent="0.25"/>
    <row r="3964" customFormat="1" ht="12.5" customHeight="1" x14ac:dyDescent="0.25"/>
    <row r="3965" customFormat="1" ht="12.5" customHeight="1" x14ac:dyDescent="0.25"/>
    <row r="3966" customFormat="1" ht="12.5" customHeight="1" x14ac:dyDescent="0.25"/>
    <row r="3967" customFormat="1" ht="12.5" customHeight="1" x14ac:dyDescent="0.25"/>
    <row r="3968" customFormat="1" ht="12.5" customHeight="1" x14ac:dyDescent="0.25"/>
    <row r="3969" customFormat="1" ht="12.5" customHeight="1" x14ac:dyDescent="0.25"/>
    <row r="3970" customFormat="1" ht="12.5" customHeight="1" x14ac:dyDescent="0.25"/>
    <row r="3971" customFormat="1" ht="12.5" customHeight="1" x14ac:dyDescent="0.25"/>
    <row r="3972" customFormat="1" ht="12.5" customHeight="1" x14ac:dyDescent="0.25"/>
    <row r="3973" customFormat="1" ht="12.5" customHeight="1" x14ac:dyDescent="0.25"/>
    <row r="3974" customFormat="1" ht="12.5" customHeight="1" x14ac:dyDescent="0.25"/>
    <row r="3975" customFormat="1" ht="12.5" customHeight="1" x14ac:dyDescent="0.25"/>
    <row r="3976" customFormat="1" ht="12.5" customHeight="1" x14ac:dyDescent="0.25"/>
    <row r="3977" customFormat="1" ht="12.5" customHeight="1" x14ac:dyDescent="0.25"/>
    <row r="3978" customFormat="1" ht="12.5" customHeight="1" x14ac:dyDescent="0.25"/>
    <row r="3979" customFormat="1" ht="12.5" customHeight="1" x14ac:dyDescent="0.25"/>
    <row r="3980" customFormat="1" ht="12.5" customHeight="1" x14ac:dyDescent="0.25"/>
    <row r="3981" customFormat="1" ht="12.5" customHeight="1" x14ac:dyDescent="0.25"/>
    <row r="3982" customFormat="1" ht="12.5" customHeight="1" x14ac:dyDescent="0.25"/>
    <row r="3983" customFormat="1" ht="12.5" customHeight="1" x14ac:dyDescent="0.25"/>
    <row r="3984" customFormat="1" ht="12.5" customHeight="1" x14ac:dyDescent="0.25"/>
    <row r="3985" customFormat="1" ht="12.5" customHeight="1" x14ac:dyDescent="0.25"/>
    <row r="3986" customFormat="1" ht="12.5" customHeight="1" x14ac:dyDescent="0.25"/>
    <row r="3987" customFormat="1" ht="12.5" customHeight="1" x14ac:dyDescent="0.25"/>
    <row r="3988" customFormat="1" ht="12.5" customHeight="1" x14ac:dyDescent="0.25"/>
    <row r="3989" customFormat="1" ht="12.5" customHeight="1" x14ac:dyDescent="0.25"/>
    <row r="3990" customFormat="1" ht="12.5" customHeight="1" x14ac:dyDescent="0.25"/>
    <row r="3991" customFormat="1" ht="12.5" customHeight="1" x14ac:dyDescent="0.25"/>
    <row r="3992" customFormat="1" ht="12.5" customHeight="1" x14ac:dyDescent="0.25"/>
    <row r="3993" customFormat="1" ht="12.5" customHeight="1" x14ac:dyDescent="0.25"/>
    <row r="3994" customFormat="1" ht="12.5" customHeight="1" x14ac:dyDescent="0.25"/>
    <row r="3995" customFormat="1" ht="12.5" customHeight="1" x14ac:dyDescent="0.25"/>
    <row r="3996" customFormat="1" ht="12.5" customHeight="1" x14ac:dyDescent="0.25"/>
    <row r="3997" customFormat="1" ht="12.5" customHeight="1" x14ac:dyDescent="0.25"/>
    <row r="3998" customFormat="1" ht="12.5" customHeight="1" x14ac:dyDescent="0.25"/>
    <row r="3999" customFormat="1" ht="12.5" customHeight="1" x14ac:dyDescent="0.25"/>
    <row r="4000" customFormat="1" ht="12.5" customHeight="1" x14ac:dyDescent="0.25"/>
    <row r="4001" customFormat="1" ht="12.5" customHeight="1" x14ac:dyDescent="0.25"/>
    <row r="4002" customFormat="1" ht="12.5" customHeight="1" x14ac:dyDescent="0.25"/>
    <row r="4003" customFormat="1" ht="12.5" customHeight="1" x14ac:dyDescent="0.25"/>
    <row r="4004" customFormat="1" ht="12.5" customHeight="1" x14ac:dyDescent="0.25"/>
    <row r="4005" customFormat="1" ht="12.5" customHeight="1" x14ac:dyDescent="0.25"/>
    <row r="4006" customFormat="1" ht="12.5" customHeight="1" x14ac:dyDescent="0.25"/>
    <row r="4007" customFormat="1" ht="12.5" customHeight="1" x14ac:dyDescent="0.25"/>
    <row r="4008" customFormat="1" ht="12.5" customHeight="1" x14ac:dyDescent="0.25"/>
    <row r="4009" customFormat="1" ht="12.5" customHeight="1" x14ac:dyDescent="0.25"/>
    <row r="4010" customFormat="1" ht="12.5" customHeight="1" x14ac:dyDescent="0.25"/>
    <row r="4011" customFormat="1" ht="12.5" customHeight="1" x14ac:dyDescent="0.25"/>
    <row r="4012" customFormat="1" ht="12.5" customHeight="1" x14ac:dyDescent="0.25"/>
    <row r="4013" customFormat="1" ht="12.5" customHeight="1" x14ac:dyDescent="0.25"/>
    <row r="4014" customFormat="1" ht="12.5" customHeight="1" x14ac:dyDescent="0.25"/>
    <row r="4015" customFormat="1" ht="12.5" customHeight="1" x14ac:dyDescent="0.25"/>
    <row r="4016" customFormat="1" ht="12.5" customHeight="1" x14ac:dyDescent="0.25"/>
    <row r="4017" customFormat="1" ht="12.5" customHeight="1" x14ac:dyDescent="0.25"/>
    <row r="4018" customFormat="1" ht="12.5" customHeight="1" x14ac:dyDescent="0.25"/>
    <row r="4019" customFormat="1" ht="12.5" customHeight="1" x14ac:dyDescent="0.25"/>
    <row r="4020" customFormat="1" ht="12.5" customHeight="1" x14ac:dyDescent="0.25"/>
    <row r="4021" customFormat="1" ht="12.5" customHeight="1" x14ac:dyDescent="0.25"/>
    <row r="4022" customFormat="1" ht="12.5" customHeight="1" x14ac:dyDescent="0.25"/>
    <row r="4023" customFormat="1" ht="12.5" customHeight="1" x14ac:dyDescent="0.25"/>
    <row r="4024" customFormat="1" ht="12.5" customHeight="1" x14ac:dyDescent="0.25"/>
    <row r="4025" customFormat="1" ht="12.5" customHeight="1" x14ac:dyDescent="0.25"/>
    <row r="4026" customFormat="1" ht="12.5" customHeight="1" x14ac:dyDescent="0.25"/>
    <row r="4027" customFormat="1" ht="12.5" customHeight="1" x14ac:dyDescent="0.25"/>
    <row r="4028" customFormat="1" ht="12.5" customHeight="1" x14ac:dyDescent="0.25"/>
    <row r="4029" customFormat="1" ht="12.5" customHeight="1" x14ac:dyDescent="0.25"/>
    <row r="4030" customFormat="1" ht="12.5" customHeight="1" x14ac:dyDescent="0.25"/>
    <row r="4031" customFormat="1" ht="12.5" customHeight="1" x14ac:dyDescent="0.25"/>
    <row r="4032" customFormat="1" ht="12.5" customHeight="1" x14ac:dyDescent="0.25"/>
    <row r="4033" customFormat="1" ht="12.5" customHeight="1" x14ac:dyDescent="0.25"/>
    <row r="4034" customFormat="1" ht="12.5" customHeight="1" x14ac:dyDescent="0.25"/>
    <row r="4035" customFormat="1" ht="12.5" customHeight="1" x14ac:dyDescent="0.25"/>
    <row r="4036" customFormat="1" ht="12.5" customHeight="1" x14ac:dyDescent="0.25"/>
    <row r="4037" customFormat="1" ht="12.5" customHeight="1" x14ac:dyDescent="0.25"/>
    <row r="4038" customFormat="1" ht="12.5" customHeight="1" x14ac:dyDescent="0.25"/>
    <row r="4039" customFormat="1" ht="12.5" customHeight="1" x14ac:dyDescent="0.25"/>
    <row r="4040" customFormat="1" ht="12.5" customHeight="1" x14ac:dyDescent="0.25"/>
    <row r="4041" customFormat="1" ht="12.5" customHeight="1" x14ac:dyDescent="0.25"/>
    <row r="4042" customFormat="1" ht="12.5" customHeight="1" x14ac:dyDescent="0.25"/>
    <row r="4043" customFormat="1" ht="12.5" customHeight="1" x14ac:dyDescent="0.25"/>
    <row r="4044" customFormat="1" ht="12.5" customHeight="1" x14ac:dyDescent="0.25"/>
    <row r="4045" customFormat="1" ht="12.5" customHeight="1" x14ac:dyDescent="0.25"/>
    <row r="4046" customFormat="1" ht="12.5" customHeight="1" x14ac:dyDescent="0.25"/>
    <row r="4047" customFormat="1" ht="12.5" customHeight="1" x14ac:dyDescent="0.25"/>
    <row r="4048" customFormat="1" ht="12.5" customHeight="1" x14ac:dyDescent="0.25"/>
    <row r="4049" customFormat="1" ht="12.5" customHeight="1" x14ac:dyDescent="0.25"/>
    <row r="4050" customFormat="1" ht="12.5" customHeight="1" x14ac:dyDescent="0.25"/>
    <row r="4051" customFormat="1" ht="12.5" customHeight="1" x14ac:dyDescent="0.25"/>
    <row r="4052" customFormat="1" ht="12.5" customHeight="1" x14ac:dyDescent="0.25"/>
    <row r="4053" customFormat="1" ht="12.5" customHeight="1" x14ac:dyDescent="0.25"/>
    <row r="4054" customFormat="1" ht="12.5" customHeight="1" x14ac:dyDescent="0.25"/>
    <row r="4055" customFormat="1" ht="12.5" customHeight="1" x14ac:dyDescent="0.25"/>
    <row r="4056" customFormat="1" ht="12.5" customHeight="1" x14ac:dyDescent="0.25"/>
    <row r="4057" customFormat="1" ht="12.5" customHeight="1" x14ac:dyDescent="0.25"/>
    <row r="4058" customFormat="1" ht="12.5" customHeight="1" x14ac:dyDescent="0.25"/>
    <row r="4059" customFormat="1" ht="12.5" customHeight="1" x14ac:dyDescent="0.25"/>
    <row r="4060" customFormat="1" ht="12.5" customHeight="1" x14ac:dyDescent="0.25"/>
    <row r="4061" customFormat="1" ht="12.5" customHeight="1" x14ac:dyDescent="0.25"/>
    <row r="4062" customFormat="1" ht="12.5" customHeight="1" x14ac:dyDescent="0.25"/>
    <row r="4063" customFormat="1" ht="12.5" customHeight="1" x14ac:dyDescent="0.25"/>
    <row r="4064" customFormat="1" ht="12.5" customHeight="1" x14ac:dyDescent="0.25"/>
    <row r="4065" customFormat="1" ht="12.5" customHeight="1" x14ac:dyDescent="0.25"/>
    <row r="4066" customFormat="1" ht="12.5" customHeight="1" x14ac:dyDescent="0.25"/>
    <row r="4067" customFormat="1" ht="12.5" customHeight="1" x14ac:dyDescent="0.25"/>
    <row r="4068" customFormat="1" ht="12.5" customHeight="1" x14ac:dyDescent="0.25"/>
    <row r="4069" customFormat="1" ht="12.5" customHeight="1" x14ac:dyDescent="0.25"/>
    <row r="4070" customFormat="1" ht="12.5" customHeight="1" x14ac:dyDescent="0.25"/>
    <row r="4071" customFormat="1" ht="12.5" customHeight="1" x14ac:dyDescent="0.25"/>
    <row r="4072" customFormat="1" ht="12.5" customHeight="1" x14ac:dyDescent="0.25"/>
    <row r="4073" customFormat="1" ht="12.5" customHeight="1" x14ac:dyDescent="0.25"/>
    <row r="4074" customFormat="1" ht="12.5" customHeight="1" x14ac:dyDescent="0.25"/>
    <row r="4075" customFormat="1" ht="12.5" customHeight="1" x14ac:dyDescent="0.25"/>
    <row r="4076" customFormat="1" ht="12.5" customHeight="1" x14ac:dyDescent="0.25"/>
    <row r="4077" customFormat="1" ht="12.5" customHeight="1" x14ac:dyDescent="0.25"/>
    <row r="4078" customFormat="1" ht="12.5" customHeight="1" x14ac:dyDescent="0.25"/>
    <row r="4079" customFormat="1" ht="12.5" customHeight="1" x14ac:dyDescent="0.25"/>
    <row r="4080" customFormat="1" ht="12.5" customHeight="1" x14ac:dyDescent="0.25"/>
    <row r="4081" customFormat="1" ht="12.5" customHeight="1" x14ac:dyDescent="0.25"/>
    <row r="4082" customFormat="1" ht="12.5" customHeight="1" x14ac:dyDescent="0.25"/>
    <row r="4083" customFormat="1" ht="12.5" customHeight="1" x14ac:dyDescent="0.25"/>
    <row r="4084" customFormat="1" ht="12.5" customHeight="1" x14ac:dyDescent="0.25"/>
    <row r="4085" customFormat="1" ht="12.5" customHeight="1" x14ac:dyDescent="0.25"/>
    <row r="4086" customFormat="1" ht="12.5" customHeight="1" x14ac:dyDescent="0.25"/>
    <row r="4087" customFormat="1" ht="12.5" customHeight="1" x14ac:dyDescent="0.25"/>
    <row r="4088" customFormat="1" ht="12.5" customHeight="1" x14ac:dyDescent="0.25"/>
    <row r="4089" customFormat="1" ht="12.5" customHeight="1" x14ac:dyDescent="0.25"/>
    <row r="4090" customFormat="1" ht="12.5" customHeight="1" x14ac:dyDescent="0.25"/>
    <row r="4091" customFormat="1" ht="12.5" customHeight="1" x14ac:dyDescent="0.25"/>
    <row r="4092" customFormat="1" ht="12.5" customHeight="1" x14ac:dyDescent="0.25"/>
    <row r="4093" customFormat="1" ht="12.5" customHeight="1" x14ac:dyDescent="0.25"/>
    <row r="4094" customFormat="1" ht="12.5" customHeight="1" x14ac:dyDescent="0.25"/>
    <row r="4095" customFormat="1" ht="12.5" customHeight="1" x14ac:dyDescent="0.25"/>
    <row r="4096" customFormat="1" ht="12.5" customHeight="1" x14ac:dyDescent="0.25"/>
    <row r="4097" customFormat="1" ht="12.5" customHeight="1" x14ac:dyDescent="0.25"/>
    <row r="4098" customFormat="1" ht="12.5" customHeight="1" x14ac:dyDescent="0.25"/>
    <row r="4099" customFormat="1" ht="12.5" customHeight="1" x14ac:dyDescent="0.25"/>
    <row r="4100" customFormat="1" ht="12.5" customHeight="1" x14ac:dyDescent="0.25"/>
    <row r="4101" customFormat="1" ht="12.5" customHeight="1" x14ac:dyDescent="0.25"/>
    <row r="4102" customFormat="1" ht="12.5" customHeight="1" x14ac:dyDescent="0.25"/>
    <row r="4103" customFormat="1" ht="12.5" customHeight="1" x14ac:dyDescent="0.25"/>
    <row r="4104" customFormat="1" ht="12.5" customHeight="1" x14ac:dyDescent="0.25"/>
    <row r="4105" customFormat="1" ht="12.5" customHeight="1" x14ac:dyDescent="0.25"/>
    <row r="4106" customFormat="1" ht="12.5" customHeight="1" x14ac:dyDescent="0.25"/>
    <row r="4107" customFormat="1" ht="12.5" customHeight="1" x14ac:dyDescent="0.25"/>
    <row r="4108" customFormat="1" ht="12.5" customHeight="1" x14ac:dyDescent="0.25"/>
    <row r="4109" customFormat="1" ht="12.5" customHeight="1" x14ac:dyDescent="0.25"/>
    <row r="4110" customFormat="1" ht="12.5" customHeight="1" x14ac:dyDescent="0.25"/>
    <row r="4111" customFormat="1" ht="12.5" customHeight="1" x14ac:dyDescent="0.25"/>
    <row r="4112" customFormat="1" ht="12.5" customHeight="1" x14ac:dyDescent="0.25"/>
    <row r="4113" customFormat="1" ht="12.5" customHeight="1" x14ac:dyDescent="0.25"/>
    <row r="4114" customFormat="1" ht="12.5" customHeight="1" x14ac:dyDescent="0.25"/>
    <row r="4115" customFormat="1" ht="12.5" customHeight="1" x14ac:dyDescent="0.25"/>
    <row r="4116" customFormat="1" ht="12.5" customHeight="1" x14ac:dyDescent="0.25"/>
    <row r="4117" customFormat="1" ht="12.5" customHeight="1" x14ac:dyDescent="0.25"/>
    <row r="4118" customFormat="1" ht="12.5" customHeight="1" x14ac:dyDescent="0.25"/>
    <row r="4119" customFormat="1" ht="12.5" customHeight="1" x14ac:dyDescent="0.25"/>
    <row r="4120" customFormat="1" ht="12.5" customHeight="1" x14ac:dyDescent="0.25"/>
    <row r="4121" customFormat="1" ht="12.5" customHeight="1" x14ac:dyDescent="0.25"/>
    <row r="4122" customFormat="1" ht="12.5" customHeight="1" x14ac:dyDescent="0.25"/>
    <row r="4123" customFormat="1" ht="12.5" customHeight="1" x14ac:dyDescent="0.25"/>
    <row r="4124" customFormat="1" ht="12.5" customHeight="1" x14ac:dyDescent="0.25"/>
    <row r="4125" customFormat="1" ht="12.5" customHeight="1" x14ac:dyDescent="0.25"/>
    <row r="4126" customFormat="1" ht="12.5" customHeight="1" x14ac:dyDescent="0.25"/>
    <row r="4127" customFormat="1" ht="12.5" customHeight="1" x14ac:dyDescent="0.25"/>
    <row r="4128" customFormat="1" ht="12.5" customHeight="1" x14ac:dyDescent="0.25"/>
    <row r="4129" customFormat="1" ht="12.5" customHeight="1" x14ac:dyDescent="0.25"/>
    <row r="4130" customFormat="1" ht="12.5" customHeight="1" x14ac:dyDescent="0.25"/>
    <row r="4131" customFormat="1" ht="12.5" customHeight="1" x14ac:dyDescent="0.25"/>
    <row r="4132" customFormat="1" ht="12.5" customHeight="1" x14ac:dyDescent="0.25"/>
    <row r="4133" customFormat="1" ht="12.5" customHeight="1" x14ac:dyDescent="0.25"/>
    <row r="4134" customFormat="1" ht="12.5" customHeight="1" x14ac:dyDescent="0.25"/>
    <row r="4135" customFormat="1" ht="12.5" customHeight="1" x14ac:dyDescent="0.25"/>
    <row r="4136" customFormat="1" ht="12.5" customHeight="1" x14ac:dyDescent="0.25"/>
    <row r="4137" customFormat="1" ht="12.5" customHeight="1" x14ac:dyDescent="0.25"/>
    <row r="4138" customFormat="1" ht="12.5" customHeight="1" x14ac:dyDescent="0.25"/>
    <row r="4139" customFormat="1" ht="12.5" customHeight="1" x14ac:dyDescent="0.25"/>
    <row r="4140" customFormat="1" ht="12.5" customHeight="1" x14ac:dyDescent="0.25"/>
    <row r="4141" customFormat="1" ht="12.5" customHeight="1" x14ac:dyDescent="0.25"/>
    <row r="4142" customFormat="1" ht="12.5" customHeight="1" x14ac:dyDescent="0.25"/>
    <row r="4143" customFormat="1" ht="12.5" customHeight="1" x14ac:dyDescent="0.25"/>
    <row r="4144" customFormat="1" ht="12.5" customHeight="1" x14ac:dyDescent="0.25"/>
    <row r="4145" customFormat="1" ht="12.5" customHeight="1" x14ac:dyDescent="0.25"/>
    <row r="4146" customFormat="1" ht="12.5" customHeight="1" x14ac:dyDescent="0.25"/>
    <row r="4147" customFormat="1" ht="12.5" customHeight="1" x14ac:dyDescent="0.25"/>
    <row r="4148" customFormat="1" ht="12.5" customHeight="1" x14ac:dyDescent="0.25"/>
    <row r="4149" customFormat="1" ht="12.5" customHeight="1" x14ac:dyDescent="0.25"/>
    <row r="4150" customFormat="1" ht="12.5" customHeight="1" x14ac:dyDescent="0.25"/>
    <row r="4151" customFormat="1" ht="12.5" customHeight="1" x14ac:dyDescent="0.25"/>
    <row r="4152" customFormat="1" ht="12.5" customHeight="1" x14ac:dyDescent="0.25"/>
    <row r="4153" customFormat="1" ht="12.5" customHeight="1" x14ac:dyDescent="0.25"/>
    <row r="4154" customFormat="1" ht="12.5" customHeight="1" x14ac:dyDescent="0.25"/>
    <row r="4155" customFormat="1" ht="12.5" customHeight="1" x14ac:dyDescent="0.25"/>
    <row r="4156" customFormat="1" ht="12.5" customHeight="1" x14ac:dyDescent="0.25"/>
    <row r="4157" customFormat="1" ht="12.5" customHeight="1" x14ac:dyDescent="0.25"/>
    <row r="4158" customFormat="1" ht="12.5" customHeight="1" x14ac:dyDescent="0.25"/>
    <row r="4159" customFormat="1" ht="12.5" customHeight="1" x14ac:dyDescent="0.25"/>
    <row r="4160" customFormat="1" ht="12.5" customHeight="1" x14ac:dyDescent="0.25"/>
    <row r="4161" customFormat="1" ht="12.5" customHeight="1" x14ac:dyDescent="0.25"/>
    <row r="4162" customFormat="1" ht="12.5" customHeight="1" x14ac:dyDescent="0.25"/>
    <row r="4163" customFormat="1" ht="12.5" customHeight="1" x14ac:dyDescent="0.25"/>
    <row r="4164" customFormat="1" ht="12.5" customHeight="1" x14ac:dyDescent="0.25"/>
    <row r="4165" customFormat="1" ht="12.5" customHeight="1" x14ac:dyDescent="0.25"/>
    <row r="4166" customFormat="1" ht="12.5" customHeight="1" x14ac:dyDescent="0.25"/>
    <row r="4167" customFormat="1" ht="12.5" customHeight="1" x14ac:dyDescent="0.25"/>
    <row r="4168" customFormat="1" ht="12.5" customHeight="1" x14ac:dyDescent="0.25"/>
    <row r="4169" customFormat="1" ht="12.5" customHeight="1" x14ac:dyDescent="0.25"/>
    <row r="4170" customFormat="1" ht="12.5" customHeight="1" x14ac:dyDescent="0.25"/>
    <row r="4171" customFormat="1" ht="12.5" customHeight="1" x14ac:dyDescent="0.25"/>
    <row r="4172" customFormat="1" ht="12.5" customHeight="1" x14ac:dyDescent="0.25"/>
    <row r="4173" customFormat="1" ht="12.5" customHeight="1" x14ac:dyDescent="0.25"/>
    <row r="4174" customFormat="1" ht="12.5" customHeight="1" x14ac:dyDescent="0.25"/>
    <row r="4175" customFormat="1" ht="12.5" customHeight="1" x14ac:dyDescent="0.25"/>
    <row r="4176" customFormat="1" ht="12.5" customHeight="1" x14ac:dyDescent="0.25"/>
    <row r="4177" customFormat="1" ht="12.5" customHeight="1" x14ac:dyDescent="0.25"/>
    <row r="4178" customFormat="1" ht="12.5" customHeight="1" x14ac:dyDescent="0.25"/>
    <row r="4179" customFormat="1" ht="12.5" customHeight="1" x14ac:dyDescent="0.25"/>
    <row r="4180" customFormat="1" ht="12.5" customHeight="1" x14ac:dyDescent="0.25"/>
    <row r="4181" customFormat="1" ht="12.5" customHeight="1" x14ac:dyDescent="0.25"/>
    <row r="4182" customFormat="1" ht="12.5" customHeight="1" x14ac:dyDescent="0.25"/>
    <row r="4183" customFormat="1" ht="12.5" customHeight="1" x14ac:dyDescent="0.25"/>
    <row r="4184" customFormat="1" ht="12.5" customHeight="1" x14ac:dyDescent="0.25"/>
    <row r="4185" customFormat="1" ht="12.5" customHeight="1" x14ac:dyDescent="0.25"/>
    <row r="4186" customFormat="1" ht="12.5" customHeight="1" x14ac:dyDescent="0.25"/>
    <row r="4187" customFormat="1" ht="12.5" customHeight="1" x14ac:dyDescent="0.25"/>
    <row r="4188" customFormat="1" ht="12.5" customHeight="1" x14ac:dyDescent="0.25"/>
    <row r="4189" customFormat="1" ht="12.5" customHeight="1" x14ac:dyDescent="0.25"/>
    <row r="4190" customFormat="1" ht="12.5" customHeight="1" x14ac:dyDescent="0.25"/>
    <row r="4191" customFormat="1" ht="12.5" customHeight="1" x14ac:dyDescent="0.25"/>
    <row r="4192" customFormat="1" ht="12.5" customHeight="1" x14ac:dyDescent="0.25"/>
    <row r="4193" customFormat="1" ht="12.5" customHeight="1" x14ac:dyDescent="0.25"/>
    <row r="4194" customFormat="1" ht="12.5" customHeight="1" x14ac:dyDescent="0.25"/>
    <row r="4195" customFormat="1" ht="12.5" customHeight="1" x14ac:dyDescent="0.25"/>
    <row r="4196" customFormat="1" ht="12.5" customHeight="1" x14ac:dyDescent="0.25"/>
    <row r="4197" customFormat="1" ht="12.5" customHeight="1" x14ac:dyDescent="0.25"/>
    <row r="4198" customFormat="1" ht="12.5" customHeight="1" x14ac:dyDescent="0.25"/>
    <row r="4199" customFormat="1" ht="12.5" customHeight="1" x14ac:dyDescent="0.25"/>
    <row r="4200" customFormat="1" ht="12.5" customHeight="1" x14ac:dyDescent="0.25"/>
    <row r="4201" customFormat="1" ht="12.5" customHeight="1" x14ac:dyDescent="0.25"/>
    <row r="4202" customFormat="1" ht="12.5" customHeight="1" x14ac:dyDescent="0.25"/>
    <row r="4203" customFormat="1" ht="12.5" customHeight="1" x14ac:dyDescent="0.25"/>
    <row r="4204" customFormat="1" ht="12.5" customHeight="1" x14ac:dyDescent="0.25"/>
    <row r="4205" customFormat="1" ht="12.5" customHeight="1" x14ac:dyDescent="0.25"/>
    <row r="4206" customFormat="1" ht="12.5" customHeight="1" x14ac:dyDescent="0.25"/>
    <row r="4207" customFormat="1" ht="12.5" customHeight="1" x14ac:dyDescent="0.25"/>
    <row r="4208" customFormat="1" ht="12.5" customHeight="1" x14ac:dyDescent="0.25"/>
    <row r="4209" customFormat="1" ht="12.5" customHeight="1" x14ac:dyDescent="0.25"/>
    <row r="4210" customFormat="1" ht="12.5" customHeight="1" x14ac:dyDescent="0.25"/>
    <row r="4211" customFormat="1" ht="12.5" customHeight="1" x14ac:dyDescent="0.25"/>
    <row r="4212" customFormat="1" ht="12.5" customHeight="1" x14ac:dyDescent="0.25"/>
    <row r="4213" customFormat="1" ht="12.5" customHeight="1" x14ac:dyDescent="0.25"/>
    <row r="4214" customFormat="1" ht="12.5" customHeight="1" x14ac:dyDescent="0.25"/>
    <row r="4215" customFormat="1" ht="12.5" customHeight="1" x14ac:dyDescent="0.25"/>
    <row r="4216" customFormat="1" ht="12.5" customHeight="1" x14ac:dyDescent="0.25"/>
    <row r="4217" customFormat="1" ht="12.5" customHeight="1" x14ac:dyDescent="0.25"/>
    <row r="4218" customFormat="1" ht="12.5" customHeight="1" x14ac:dyDescent="0.25"/>
    <row r="4219" customFormat="1" ht="12.5" customHeight="1" x14ac:dyDescent="0.25"/>
    <row r="4220" customFormat="1" ht="12.5" customHeight="1" x14ac:dyDescent="0.25"/>
    <row r="4221" customFormat="1" ht="12.5" customHeight="1" x14ac:dyDescent="0.25"/>
    <row r="4222" customFormat="1" ht="12.5" customHeight="1" x14ac:dyDescent="0.25"/>
    <row r="4223" customFormat="1" ht="12.5" customHeight="1" x14ac:dyDescent="0.25"/>
    <row r="4224" customFormat="1" ht="12.5" customHeight="1" x14ac:dyDescent="0.25"/>
    <row r="4225" customFormat="1" ht="12.5" customHeight="1" x14ac:dyDescent="0.25"/>
    <row r="4226" customFormat="1" ht="12.5" customHeight="1" x14ac:dyDescent="0.25"/>
    <row r="4227" customFormat="1" ht="12.5" customHeight="1" x14ac:dyDescent="0.25"/>
    <row r="4228" customFormat="1" ht="12.5" customHeight="1" x14ac:dyDescent="0.25"/>
    <row r="4229" customFormat="1" ht="12.5" customHeight="1" x14ac:dyDescent="0.25"/>
    <row r="4230" customFormat="1" ht="12.5" customHeight="1" x14ac:dyDescent="0.25"/>
    <row r="4231" customFormat="1" ht="12.5" customHeight="1" x14ac:dyDescent="0.25"/>
    <row r="4232" customFormat="1" ht="12.5" customHeight="1" x14ac:dyDescent="0.25"/>
    <row r="4233" customFormat="1" ht="12.5" customHeight="1" x14ac:dyDescent="0.25"/>
    <row r="4234" customFormat="1" ht="12.5" customHeight="1" x14ac:dyDescent="0.25"/>
    <row r="4235" customFormat="1" ht="12.5" customHeight="1" x14ac:dyDescent="0.25"/>
    <row r="4236" customFormat="1" ht="12.5" customHeight="1" x14ac:dyDescent="0.25"/>
    <row r="4237" customFormat="1" ht="12.5" customHeight="1" x14ac:dyDescent="0.25"/>
    <row r="4238" customFormat="1" ht="12.5" customHeight="1" x14ac:dyDescent="0.25"/>
    <row r="4239" customFormat="1" ht="12.5" customHeight="1" x14ac:dyDescent="0.25"/>
    <row r="4240" customFormat="1" ht="12.5" customHeight="1" x14ac:dyDescent="0.25"/>
    <row r="4241" customFormat="1" ht="12.5" customHeight="1" x14ac:dyDescent="0.25"/>
    <row r="4242" customFormat="1" ht="12.5" customHeight="1" x14ac:dyDescent="0.25"/>
    <row r="4243" customFormat="1" ht="12.5" customHeight="1" x14ac:dyDescent="0.25"/>
    <row r="4244" customFormat="1" ht="12.5" customHeight="1" x14ac:dyDescent="0.25"/>
    <row r="4245" customFormat="1" ht="12.5" customHeight="1" x14ac:dyDescent="0.25"/>
    <row r="4246" customFormat="1" ht="12.5" customHeight="1" x14ac:dyDescent="0.25"/>
    <row r="4247" customFormat="1" ht="12.5" customHeight="1" x14ac:dyDescent="0.25"/>
    <row r="4248" customFormat="1" ht="12.5" customHeight="1" x14ac:dyDescent="0.25"/>
    <row r="4249" customFormat="1" ht="12.5" customHeight="1" x14ac:dyDescent="0.25"/>
    <row r="4250" customFormat="1" ht="12.5" customHeight="1" x14ac:dyDescent="0.25"/>
    <row r="4251" customFormat="1" ht="12.5" customHeight="1" x14ac:dyDescent="0.25"/>
    <row r="4252" customFormat="1" ht="12.5" customHeight="1" x14ac:dyDescent="0.25"/>
    <row r="4253" customFormat="1" ht="12.5" customHeight="1" x14ac:dyDescent="0.25"/>
    <row r="4254" customFormat="1" ht="12.5" customHeight="1" x14ac:dyDescent="0.25"/>
    <row r="4255" customFormat="1" ht="12.5" customHeight="1" x14ac:dyDescent="0.25"/>
    <row r="4256" customFormat="1" ht="12.5" customHeight="1" x14ac:dyDescent="0.25"/>
    <row r="4257" customFormat="1" ht="12.5" customHeight="1" x14ac:dyDescent="0.25"/>
    <row r="4258" customFormat="1" ht="12.5" customHeight="1" x14ac:dyDescent="0.25"/>
    <row r="4259" customFormat="1" ht="12.5" customHeight="1" x14ac:dyDescent="0.25"/>
    <row r="4260" customFormat="1" ht="12.5" customHeight="1" x14ac:dyDescent="0.25"/>
  </sheetData>
  <sortState xmlns:xlrd2="http://schemas.microsoft.com/office/spreadsheetml/2017/richdata2" ref="A6:AE40">
    <sortCondition descending="1" ref="M5"/>
    <sortCondition descending="1" ref="I5"/>
    <sortCondition ref="H5"/>
  </sortState>
  <phoneticPr fontId="5" type="noConversion"/>
  <printOptions horizontalCentered="1"/>
  <pageMargins left="0" right="0" top="0.55118110236220497" bottom="0.55118110236220497" header="0.31496062992126" footer="0.31496062992126"/>
  <pageSetup paperSize="9" orientation="portrait" verticalDpi="203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1075" r:id="rId4" name="cmdscrowtochart">
          <controlPr defaultSize="0" autoLine="0" r:id="rId5">
            <anchor moveWithCells="1">
              <from>
                <xdr:col>18</xdr:col>
                <xdr:colOff>222250</xdr:colOff>
                <xdr:row>2</xdr:row>
                <xdr:rowOff>222250</xdr:rowOff>
              </from>
              <to>
                <xdr:col>19</xdr:col>
                <xdr:colOff>457200</xdr:colOff>
                <xdr:row>2</xdr:row>
                <xdr:rowOff>514350</xdr:rowOff>
              </to>
            </anchor>
          </controlPr>
        </control>
      </mc:Choice>
      <mc:Fallback>
        <control shapeId="1075" r:id="rId4" name="cmdscrowtochart"/>
      </mc:Fallback>
    </mc:AlternateContent>
    <mc:AlternateContent xmlns:mc="http://schemas.openxmlformats.org/markup-compatibility/2006">
      <mc:Choice Requires="x14">
        <control shapeId="1074" r:id="rId6" name="updatecalculation">
          <controlPr defaultSize="0" autoLine="0" r:id="rId7">
            <anchor moveWithCells="1">
              <from>
                <xdr:col>33</xdr:col>
                <xdr:colOff>0</xdr:colOff>
                <xdr:row>2</xdr:row>
                <xdr:rowOff>222250</xdr:rowOff>
              </from>
              <to>
                <xdr:col>34</xdr:col>
                <xdr:colOff>234950</xdr:colOff>
                <xdr:row>2</xdr:row>
                <xdr:rowOff>514350</xdr:rowOff>
              </to>
            </anchor>
          </controlPr>
        </control>
      </mc:Choice>
      <mc:Fallback>
        <control shapeId="1074" r:id="rId6" name="updatecalculation"/>
      </mc:Fallback>
    </mc:AlternateContent>
    <mc:AlternateContent xmlns:mc="http://schemas.openxmlformats.org/markup-compatibility/2006">
      <mc:Choice Requires="x14">
        <control shapeId="1068" r:id="rId8" name="cmbcontype">
          <controlPr defaultSize="0" autoLine="0" r:id="rId9">
            <anchor moveWithCells="1">
              <from>
                <xdr:col>10</xdr:col>
                <xdr:colOff>565150</xdr:colOff>
                <xdr:row>2</xdr:row>
                <xdr:rowOff>222250</xdr:rowOff>
              </from>
              <to>
                <xdr:col>12</xdr:col>
                <xdr:colOff>273050</xdr:colOff>
                <xdr:row>2</xdr:row>
                <xdr:rowOff>514350</xdr:rowOff>
              </to>
            </anchor>
          </controlPr>
        </control>
      </mc:Choice>
      <mc:Fallback>
        <control shapeId="1068" r:id="rId8" name="cmbcontype"/>
      </mc:Fallback>
    </mc:AlternateContent>
    <mc:AlternateContent xmlns:mc="http://schemas.openxmlformats.org/markup-compatibility/2006">
      <mc:Choice Requires="x14">
        <control shapeId="1067" r:id="rId10" name="cmbtrantype">
          <controlPr defaultSize="0" autoLine="0" r:id="rId9">
            <anchor moveWithCells="1">
              <from>
                <xdr:col>8</xdr:col>
                <xdr:colOff>476250</xdr:colOff>
                <xdr:row>2</xdr:row>
                <xdr:rowOff>222250</xdr:rowOff>
              </from>
              <to>
                <xdr:col>10</xdr:col>
                <xdr:colOff>184150</xdr:colOff>
                <xdr:row>2</xdr:row>
                <xdr:rowOff>514350</xdr:rowOff>
              </to>
            </anchor>
          </controlPr>
        </control>
      </mc:Choice>
      <mc:Fallback>
        <control shapeId="1067" r:id="rId10" name="cmbtrantype"/>
      </mc:Fallback>
    </mc:AlternateContent>
    <mc:AlternateContent xmlns:mc="http://schemas.openxmlformats.org/markup-compatibility/2006">
      <mc:Choice Requires="x14">
        <control shapeId="1063" r:id="rId11" name="cmddrawshape">
          <controlPr defaultSize="0" autoLine="0" r:id="rId12">
            <anchor moveWithCells="1">
              <from>
                <xdr:col>13</xdr:col>
                <xdr:colOff>279400</xdr:colOff>
                <xdr:row>2</xdr:row>
                <xdr:rowOff>222250</xdr:rowOff>
              </from>
              <to>
                <xdr:col>14</xdr:col>
                <xdr:colOff>514350</xdr:colOff>
                <xdr:row>2</xdr:row>
                <xdr:rowOff>514350</xdr:rowOff>
              </to>
            </anchor>
          </controlPr>
        </control>
      </mc:Choice>
      <mc:Fallback>
        <control shapeId="1063" r:id="rId11" name="cmddrawshape"/>
      </mc:Fallback>
    </mc:AlternateContent>
    <mc:AlternateContent xmlns:mc="http://schemas.openxmlformats.org/markup-compatibility/2006">
      <mc:Choice Requires="x14">
        <control shapeId="1061" r:id="rId13" name="cmdreturnmain">
          <controlPr defaultSize="0" autoLine="0" r:id="rId14">
            <anchor moveWithCells="1">
              <from>
                <xdr:col>34</xdr:col>
                <xdr:colOff>311150</xdr:colOff>
                <xdr:row>2</xdr:row>
                <xdr:rowOff>222250</xdr:rowOff>
              </from>
              <to>
                <xdr:col>35</xdr:col>
                <xdr:colOff>546100</xdr:colOff>
                <xdr:row>2</xdr:row>
                <xdr:rowOff>514350</xdr:rowOff>
              </to>
            </anchor>
          </controlPr>
        </control>
      </mc:Choice>
      <mc:Fallback>
        <control shapeId="1061" r:id="rId13" name="cmdreturnmain"/>
      </mc:Fallback>
    </mc:AlternateContent>
    <mc:AlternateContent xmlns:mc="http://schemas.openxmlformats.org/markup-compatibility/2006">
      <mc:Choice Requires="x14">
        <control shapeId="1054" r:id="rId15" name="cmdaddpro">
          <controlPr defaultSize="0" autoLine="0" r:id="rId16">
            <anchor moveWithCells="1">
              <from>
                <xdr:col>6</xdr:col>
                <xdr:colOff>482600</xdr:colOff>
                <xdr:row>2</xdr:row>
                <xdr:rowOff>222250</xdr:rowOff>
              </from>
              <to>
                <xdr:col>8</xdr:col>
                <xdr:colOff>114300</xdr:colOff>
                <xdr:row>2</xdr:row>
                <xdr:rowOff>514350</xdr:rowOff>
              </to>
            </anchor>
          </controlPr>
        </control>
      </mc:Choice>
      <mc:Fallback>
        <control shapeId="1054" r:id="rId15" name="cmdaddpro"/>
      </mc:Fallback>
    </mc:AlternateContent>
    <mc:AlternateContent xmlns:mc="http://schemas.openxmlformats.org/markup-compatibility/2006">
      <mc:Choice Requires="x14">
        <control shapeId="1053" r:id="rId17" name="cmdsetting">
          <controlPr defaultSize="0" autoLine="0" r:id="rId18">
            <anchor moveWithCells="1">
              <from>
                <xdr:col>16</xdr:col>
                <xdr:colOff>114300</xdr:colOff>
                <xdr:row>2</xdr:row>
                <xdr:rowOff>222250</xdr:rowOff>
              </from>
              <to>
                <xdr:col>17</xdr:col>
                <xdr:colOff>349250</xdr:colOff>
                <xdr:row>2</xdr:row>
                <xdr:rowOff>514350</xdr:rowOff>
              </to>
            </anchor>
          </controlPr>
        </control>
      </mc:Choice>
      <mc:Fallback>
        <control shapeId="1053" r:id="rId17" name="cmdsetting"/>
      </mc:Fallback>
    </mc:AlternateContent>
    <mc:AlternateContent xmlns:mc="http://schemas.openxmlformats.org/markup-compatibility/2006">
      <mc:Choice Requires="x14">
        <control shapeId="1072" r:id="rId19" name="cmdsingleimport">
          <controlPr defaultSize="0" autoLine="0" r:id="rId20">
            <anchor moveWithCells="1">
              <from>
                <xdr:col>4</xdr:col>
                <xdr:colOff>368300</xdr:colOff>
                <xdr:row>2</xdr:row>
                <xdr:rowOff>222250</xdr:rowOff>
              </from>
              <to>
                <xdr:col>6</xdr:col>
                <xdr:colOff>0</xdr:colOff>
                <xdr:row>2</xdr:row>
                <xdr:rowOff>514350</xdr:rowOff>
              </to>
            </anchor>
          </controlPr>
        </control>
      </mc:Choice>
      <mc:Fallback>
        <control shapeId="1072" r:id="rId19" name="cmdsingleim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Powerpackdata</vt:lpstr>
      <vt:lpstr>condition</vt:lpstr>
      <vt:lpstr>Parameter</vt:lpstr>
      <vt:lpstr>Shiplist</vt:lpstr>
      <vt:lpstr>Loadingmenu</vt:lpstr>
      <vt:lpstr>DataArea</vt:lpstr>
      <vt:lpstr>loadingType</vt:lpstr>
      <vt:lpstr>Loadingmenu!Print_Area</vt:lpstr>
      <vt:lpstr>Loadingmenu!Print_Titles</vt:lpstr>
      <vt:lpstr>集装箱</vt:lpstr>
      <vt:lpstr>卡车</vt:lpstr>
    </vt:vector>
  </TitlesOfParts>
  <Company>Metso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Zhimin Hua</dc:creator>
  <cp:lastModifiedBy>tieyu</cp:lastModifiedBy>
  <cp:lastPrinted>2014-11-29T11:13:21Z</cp:lastPrinted>
  <dcterms:created xsi:type="dcterms:W3CDTF">2008-12-24T01:14:48Z</dcterms:created>
  <dcterms:modified xsi:type="dcterms:W3CDTF">2026-06-28T02:56:34Z</dcterms:modified>
</cp:coreProperties>
</file>