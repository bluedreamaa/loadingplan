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ollection\ReactThreejsFiber\Containerloadingsys\public\xlsx\"/>
    </mc:Choice>
  </mc:AlternateContent>
  <xr:revisionPtr revIDLastSave="0" documentId="13_ncr:1_{7773968D-A904-4CDD-AC87-06B981C58C56}" xr6:coauthVersionLast="47" xr6:coauthVersionMax="47" xr10:uidLastSave="{00000000-0000-0000-0000-000000000000}"/>
  <bookViews>
    <workbookView xWindow="-110" yWindow="-110" windowWidth="22620" windowHeight="13500" xr2:uid="{00000000-000D-0000-FFFF-FFFF00000000}"/>
  </bookViews>
  <sheets>
    <sheet name="Sheet1" sheetId="1" r:id="rId1"/>
    <sheet name="Shiplist" sheetId="4" r:id="rId2"/>
  </sheets>
  <externalReferences>
    <externalReference r:id="rId3"/>
  </externalReferences>
  <definedNames>
    <definedName name="cbSubLevels">"CheckBox1"</definedName>
    <definedName name="packingtype">[1]Parameter!#REF!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2" i="1"/>
</calcChain>
</file>

<file path=xl/sharedStrings.xml><?xml version="1.0" encoding="utf-8"?>
<sst xmlns="http://schemas.openxmlformats.org/spreadsheetml/2006/main" count="148" uniqueCount="91">
  <si>
    <t>单向可叉</t>
    <phoneticPr fontId="1" type="noConversion"/>
  </si>
  <si>
    <t>yes</t>
    <phoneticPr fontId="1" type="noConversion"/>
  </si>
  <si>
    <t>Name</t>
    <phoneticPr fontId="1" type="noConversion"/>
  </si>
  <si>
    <t>Length</t>
    <phoneticPr fontId="1" type="noConversion"/>
  </si>
  <si>
    <t>Width</t>
    <phoneticPr fontId="1" type="noConversion"/>
  </si>
  <si>
    <t>Height</t>
    <phoneticPr fontId="1" type="noConversion"/>
  </si>
  <si>
    <t>Quantity</t>
    <phoneticPr fontId="1" type="noConversion"/>
  </si>
  <si>
    <t>Weight</t>
    <phoneticPr fontId="1" type="noConversion"/>
  </si>
  <si>
    <t>Packing Type</t>
    <phoneticPr fontId="1" type="noConversion"/>
  </si>
  <si>
    <t>Forklift Direction</t>
    <phoneticPr fontId="1" type="noConversion"/>
  </si>
  <si>
    <t>Need Boxing</t>
    <phoneticPr fontId="1" type="noConversion"/>
  </si>
  <si>
    <t>Boxing Quantity</t>
    <phoneticPr fontId="1" type="noConversion"/>
  </si>
  <si>
    <t>Rotatable</t>
    <phoneticPr fontId="1" type="noConversion"/>
  </si>
  <si>
    <t>Stackable</t>
    <phoneticPr fontId="1" type="noConversion"/>
  </si>
  <si>
    <t>ShipNo</t>
    <phoneticPr fontId="4" type="noConversion"/>
  </si>
  <si>
    <t>ShipType</t>
    <phoneticPr fontId="4" type="noConversion"/>
  </si>
  <si>
    <t>ShiplistID</t>
    <phoneticPr fontId="4" type="noConversion"/>
  </si>
  <si>
    <t>CO</t>
    <phoneticPr fontId="4" type="noConversion"/>
  </si>
  <si>
    <t>ItemNumber</t>
    <phoneticPr fontId="4" type="noConversion"/>
  </si>
  <si>
    <t>ShipQty</t>
    <phoneticPr fontId="4" type="noConversion"/>
  </si>
  <si>
    <t>Packing</t>
    <phoneticPr fontId="4" type="noConversion"/>
  </si>
  <si>
    <t>CarNo</t>
    <phoneticPr fontId="4" type="noConversion"/>
  </si>
  <si>
    <t>BoxType</t>
    <phoneticPr fontId="4" type="noConversion"/>
  </si>
  <si>
    <t>BoxSouce</t>
    <phoneticPr fontId="4" type="noConversion"/>
  </si>
  <si>
    <t>BoxKey</t>
    <phoneticPr fontId="4" type="noConversion"/>
  </si>
  <si>
    <t>Pno</t>
    <phoneticPr fontId="4" type="noConversion"/>
  </si>
  <si>
    <t>Pqty</t>
    <phoneticPr fontId="4" type="noConversion"/>
  </si>
  <si>
    <t>Psize</t>
    <phoneticPr fontId="4" type="noConversion"/>
  </si>
  <si>
    <t>Pvolume</t>
    <phoneticPr fontId="4" type="noConversion"/>
  </si>
  <si>
    <t>Pweight</t>
    <phoneticPr fontId="4" type="noConversion"/>
  </si>
  <si>
    <t>Pper</t>
    <phoneticPr fontId="4" type="noConversion"/>
  </si>
  <si>
    <t>BNO</t>
    <phoneticPr fontId="4" type="noConversion"/>
  </si>
  <si>
    <t>BQty</t>
    <phoneticPr fontId="4" type="noConversion"/>
  </si>
  <si>
    <t>Bsize</t>
    <phoneticPr fontId="4" type="noConversion"/>
  </si>
  <si>
    <t>Bvolume</t>
    <phoneticPr fontId="4" type="noConversion"/>
  </si>
  <si>
    <t>Bweight</t>
    <phoneticPr fontId="4" type="noConversion"/>
  </si>
  <si>
    <t>Bper</t>
    <phoneticPr fontId="4" type="noConversion"/>
  </si>
  <si>
    <t>ItemShipping</t>
    <phoneticPr fontId="4" type="noConversion"/>
  </si>
  <si>
    <t>FT20</t>
    <phoneticPr fontId="4" type="noConversion"/>
  </si>
  <si>
    <t>FT40</t>
    <phoneticPr fontId="4" type="noConversion"/>
  </si>
  <si>
    <t>PorB</t>
    <phoneticPr fontId="4" type="noConversion"/>
  </si>
  <si>
    <t>PackingSize</t>
    <phoneticPr fontId="4" type="noConversion"/>
  </si>
  <si>
    <t>PackingVolume</t>
    <phoneticPr fontId="4" type="noConversion"/>
  </si>
  <si>
    <t>Packingweight</t>
    <phoneticPr fontId="4" type="noConversion"/>
  </si>
  <si>
    <t>BoxPer</t>
    <phoneticPr fontId="4" type="noConversion"/>
  </si>
  <si>
    <t>TXID</t>
    <phoneticPr fontId="4" type="noConversion"/>
  </si>
  <si>
    <t>P_Type</t>
    <phoneticPr fontId="4" type="noConversion"/>
  </si>
  <si>
    <t>ItemDescription</t>
    <phoneticPr fontId="4" type="noConversion"/>
  </si>
  <si>
    <t>H2021435</t>
    <phoneticPr fontId="4" type="noConversion"/>
  </si>
  <si>
    <t>PRO</t>
    <phoneticPr fontId="4" type="noConversion"/>
  </si>
  <si>
    <t>C20210818-01PSB012758870</t>
    <phoneticPr fontId="4" type="noConversion"/>
  </si>
  <si>
    <t>A40***CY_Z</t>
    <phoneticPr fontId="4" type="noConversion"/>
  </si>
  <si>
    <t>M</t>
    <phoneticPr fontId="4" type="noConversion"/>
  </si>
  <si>
    <t>LSA</t>
    <phoneticPr fontId="4" type="noConversion"/>
  </si>
  <si>
    <t>1140*690*740</t>
  </si>
  <si>
    <t>P</t>
    <phoneticPr fontId="4" type="noConversion"/>
  </si>
  <si>
    <t>LSA40</t>
    <phoneticPr fontId="4" type="noConversion"/>
  </si>
  <si>
    <t>发电机40</t>
    <phoneticPr fontId="4" type="noConversion"/>
  </si>
  <si>
    <t>A44***CY_Z</t>
    <phoneticPr fontId="4" type="noConversion"/>
  </si>
  <si>
    <t>1160*710*880</t>
  </si>
  <si>
    <t>LSA443</t>
    <phoneticPr fontId="4" type="noConversion"/>
  </si>
  <si>
    <t>发电机443</t>
    <phoneticPr fontId="4" type="noConversion"/>
  </si>
  <si>
    <t>C20210818-01PSB005758863</t>
    <phoneticPr fontId="4" type="noConversion"/>
  </si>
  <si>
    <t>A46***CY_Z</t>
    <phoneticPr fontId="4" type="noConversion"/>
  </si>
  <si>
    <t>1250*800*956</t>
  </si>
  <si>
    <t>LSA463</t>
    <phoneticPr fontId="4" type="noConversion"/>
  </si>
  <si>
    <t>发电机463</t>
    <phoneticPr fontId="4" type="noConversion"/>
  </si>
  <si>
    <t>A47***CY_Z</t>
    <phoneticPr fontId="4" type="noConversion"/>
  </si>
  <si>
    <t>1440*920*1200</t>
  </si>
  <si>
    <t>1600*1200*1100</t>
    <phoneticPr fontId="4" type="noConversion"/>
  </si>
  <si>
    <t>LSA473</t>
    <phoneticPr fontId="4" type="noConversion"/>
  </si>
  <si>
    <t>发电机473</t>
    <phoneticPr fontId="4" type="noConversion"/>
  </si>
  <si>
    <t>A49***CY_Z</t>
    <phoneticPr fontId="4" type="noConversion"/>
  </si>
  <si>
    <t>1800*1100*1280</t>
    <phoneticPr fontId="4" type="noConversion"/>
  </si>
  <si>
    <t>B</t>
    <phoneticPr fontId="4" type="noConversion"/>
  </si>
  <si>
    <t>LSA493</t>
    <phoneticPr fontId="4" type="noConversion"/>
  </si>
  <si>
    <t>发电机493</t>
    <phoneticPr fontId="4" type="noConversion"/>
  </si>
  <si>
    <t>A50***CY_Z</t>
    <phoneticPr fontId="4" type="noConversion"/>
  </si>
  <si>
    <t>1800*1100*1470</t>
    <phoneticPr fontId="4" type="noConversion"/>
  </si>
  <si>
    <t>LSA502</t>
    <phoneticPr fontId="4" type="noConversion"/>
  </si>
  <si>
    <t>发电机502</t>
    <phoneticPr fontId="4" type="noConversion"/>
  </si>
  <si>
    <t>Wooden pallet</t>
  </si>
  <si>
    <t>Wooden box</t>
  </si>
  <si>
    <t>LSA40- 154143</t>
  </si>
  <si>
    <t>LSA443- 154143</t>
  </si>
  <si>
    <t>LSA463- 154144</t>
  </si>
  <si>
    <t>LSA473- 154144</t>
  </si>
  <si>
    <t>LSA493- 154144</t>
  </si>
  <si>
    <t>LSA502- 154144</t>
  </si>
  <si>
    <t>双向可叉</t>
    <phoneticPr fontId="1" type="noConversion"/>
  </si>
  <si>
    <t>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</si>
</sst>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1"/>
      <color theme="1"/>
      <name val="Calibri"/>
      <family val="2"/>
    </font>
    <font>
      <sz val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9E7B9"/>
        <bgColor indexed="64"/>
      </patternFill>
    </fill>
    <fill>
      <patternFill patternType="solid">
        <fgColor rgb="FFCCFF3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7">
    <xf numFmtId="0" fontId="0" fillId="0" borderId="0" xfId="0"/>
    <xf numFmtId="0" fontId="3" fillId="2" borderId="0" xfId="1" applyFill="1"/>
    <xf numFmtId="0" fontId="3" fillId="0" borderId="0" xfId="1"/>
    <xf numFmtId="0" fontId="3" fillId="3" borderId="0" xfId="1" applyFill="1"/>
    <xf numFmtId="0" fontId="5" fillId="0" borderId="0" xfId="2" applyFont="1"/>
    <xf numFmtId="0" fontId="6" fillId="3" borderId="0" xfId="1" applyFont="1" applyFill="1"/>
    <xf numFmtId="0" fontId="6" fillId="0" borderId="0" xfId="1" applyFont="1"/>
  </cellXfs>
  <cellStyles count="3">
    <cellStyle name="Normal" xfId="0" builtinId="0"/>
    <cellStyle name="Normal 2" xfId="1" xr:uid="{37D6B954-C74A-4D09-8755-1218603CF3DE}"/>
    <cellStyle name="Normal 4" xfId="2" xr:uid="{6D27E9FA-E13F-48B4-A471-FEC0972E4F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rofessional\LearningDevelopment\2026\LoadingPlan-xls\Loading%20plan%20model%20EN%20V09%2020241119.xlsm" TargetMode="External"/><Relationship Id="rId1" Type="http://schemas.openxmlformats.org/officeDocument/2006/relationships/externalLinkPath" Target="/Professional/LearningDevelopment/2026/LoadingPlan-xls/Loading%20plan%20model%20EN%20V09%20202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werpackdata"/>
      <sheetName val="condition"/>
      <sheetName val="Parameter"/>
      <sheetName val="Shiplist"/>
      <sheetName val="Loadingmenu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tabSelected="1" workbookViewId="0">
      <selection activeCell="H21" sqref="H21"/>
    </sheetView>
  </sheetViews>
  <sheetFormatPr defaultRowHeight="14" x14ac:dyDescent="0.3"/>
  <cols>
    <col min="1" max="1" width="14.83203125" bestFit="1" customWidth="1"/>
    <col min="2" max="2" width="7.1640625" bestFit="1" customWidth="1"/>
    <col min="3" max="3" width="5.5" bestFit="1" customWidth="1"/>
    <col min="4" max="4" width="6.1640625" bestFit="1" customWidth="1"/>
    <col min="5" max="5" width="7.58203125" bestFit="1" customWidth="1"/>
    <col min="7" max="7" width="13.08203125" bestFit="1" customWidth="1"/>
    <col min="8" max="8" width="13.4140625" bestFit="1" customWidth="1"/>
    <col min="9" max="9" width="11.4140625" bestFit="1" customWidth="1"/>
    <col min="10" max="10" width="14.1640625" bestFit="1" customWidth="1"/>
  </cols>
  <sheetData>
    <row r="1" spans="1:12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</row>
    <row r="2" spans="1:12" x14ac:dyDescent="0.3">
      <c r="A2" t="s">
        <v>83</v>
      </c>
      <c r="B2">
        <v>114</v>
      </c>
      <c r="C2">
        <v>69</v>
      </c>
      <c r="D2">
        <v>74</v>
      </c>
      <c r="E2">
        <v>31</v>
      </c>
      <c r="F2">
        <v>114.3</v>
      </c>
      <c r="G2" t="s">
        <v>81</v>
      </c>
      <c r="H2" t="s">
        <v>89</v>
      </c>
      <c r="I2" t="s">
        <v>1</v>
      </c>
      <c r="J2">
        <f>ROUNDUP(E2/2,0)</f>
        <v>16</v>
      </c>
      <c r="K2" t="s">
        <v>1</v>
      </c>
      <c r="L2" t="s">
        <v>1</v>
      </c>
    </row>
    <row r="3" spans="1:12" x14ac:dyDescent="0.3">
      <c r="A3" t="s">
        <v>84</v>
      </c>
      <c r="B3">
        <v>116</v>
      </c>
      <c r="C3">
        <v>71</v>
      </c>
      <c r="D3">
        <v>88</v>
      </c>
      <c r="E3">
        <v>8</v>
      </c>
      <c r="F3">
        <v>427.3</v>
      </c>
      <c r="G3" t="s">
        <v>81</v>
      </c>
      <c r="H3" t="s">
        <v>89</v>
      </c>
      <c r="I3" t="s">
        <v>1</v>
      </c>
      <c r="J3">
        <f>ROUNDUP(E3/2,0)</f>
        <v>4</v>
      </c>
      <c r="K3" t="s">
        <v>1</v>
      </c>
      <c r="L3" t="s">
        <v>1</v>
      </c>
    </row>
    <row r="4" spans="1:12" x14ac:dyDescent="0.3">
      <c r="A4" t="s">
        <v>85</v>
      </c>
      <c r="B4">
        <v>125</v>
      </c>
      <c r="C4">
        <v>80</v>
      </c>
      <c r="D4">
        <v>95.6</v>
      </c>
      <c r="E4">
        <v>4</v>
      </c>
      <c r="F4">
        <v>787.6</v>
      </c>
      <c r="G4" t="s">
        <v>81</v>
      </c>
      <c r="H4" t="s">
        <v>0</v>
      </c>
      <c r="I4" t="s">
        <v>90</v>
      </c>
      <c r="K4" t="s">
        <v>90</v>
      </c>
      <c r="L4" t="s">
        <v>90</v>
      </c>
    </row>
    <row r="5" spans="1:12" x14ac:dyDescent="0.3">
      <c r="A5" t="s">
        <v>86</v>
      </c>
      <c r="B5">
        <v>144</v>
      </c>
      <c r="C5">
        <v>92</v>
      </c>
      <c r="D5">
        <v>120</v>
      </c>
      <c r="E5">
        <v>3</v>
      </c>
      <c r="F5">
        <v>1474</v>
      </c>
      <c r="G5" t="s">
        <v>81</v>
      </c>
      <c r="H5" t="s">
        <v>0</v>
      </c>
      <c r="I5" t="s">
        <v>90</v>
      </c>
      <c r="K5" t="s">
        <v>90</v>
      </c>
      <c r="L5" t="s">
        <v>90</v>
      </c>
    </row>
    <row r="6" spans="1:12" x14ac:dyDescent="0.3">
      <c r="A6" t="s">
        <v>87</v>
      </c>
      <c r="B6">
        <v>180</v>
      </c>
      <c r="C6">
        <v>110</v>
      </c>
      <c r="D6">
        <v>128</v>
      </c>
      <c r="E6">
        <v>2</v>
      </c>
      <c r="F6">
        <v>1974</v>
      </c>
      <c r="G6" t="s">
        <v>82</v>
      </c>
      <c r="H6" t="s">
        <v>0</v>
      </c>
      <c r="I6" t="s">
        <v>90</v>
      </c>
      <c r="K6" t="s">
        <v>90</v>
      </c>
      <c r="L6" t="s">
        <v>90</v>
      </c>
    </row>
    <row r="7" spans="1:12" x14ac:dyDescent="0.3">
      <c r="A7" t="s">
        <v>88</v>
      </c>
      <c r="B7">
        <v>180</v>
      </c>
      <c r="C7">
        <v>110</v>
      </c>
      <c r="D7">
        <v>147</v>
      </c>
      <c r="E7">
        <v>2</v>
      </c>
      <c r="F7">
        <v>2900</v>
      </c>
      <c r="G7" t="s">
        <v>82</v>
      </c>
      <c r="H7" t="s">
        <v>0</v>
      </c>
      <c r="I7" t="s">
        <v>90</v>
      </c>
      <c r="K7" t="s">
        <v>90</v>
      </c>
      <c r="L7" t="s">
        <v>90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19292-A588-49B2-A4E1-370F1FF093B9}">
  <sheetPr codeName="Sheet10">
    <tabColor rgb="FFCCFF66"/>
  </sheetPr>
  <dimension ref="A1:AH7"/>
  <sheetViews>
    <sheetView zoomScale="80" zoomScaleNormal="80" workbookViewId="0">
      <selection activeCell="D27" sqref="D27"/>
    </sheetView>
  </sheetViews>
  <sheetFormatPr defaultRowHeight="12.5" x14ac:dyDescent="0.25"/>
  <cols>
    <col min="1" max="1" width="8.6640625" style="2" bestFit="1" customWidth="1"/>
    <col min="2" max="3" width="8.6640625" style="2"/>
    <col min="4" max="4" width="23.5" style="2" customWidth="1"/>
    <col min="5" max="5" width="14.5" style="2" bestFit="1" customWidth="1"/>
    <col min="6" max="7" width="8.6640625" style="2"/>
    <col min="8" max="8" width="5.1640625" style="2" customWidth="1"/>
    <col min="9" max="9" width="7.58203125" style="2" bestFit="1" customWidth="1"/>
    <col min="10" max="13" width="8.6640625" style="2"/>
    <col min="14" max="14" width="12.83203125" style="2" bestFit="1" customWidth="1"/>
    <col min="15" max="15" width="7.6640625" style="2" bestFit="1" customWidth="1"/>
    <col min="16" max="16" width="8.6640625" style="2"/>
    <col min="17" max="18" width="4.6640625" style="2" bestFit="1" customWidth="1"/>
    <col min="19" max="19" width="4.9140625" style="2" bestFit="1" customWidth="1"/>
    <col min="20" max="20" width="14.83203125" style="2" bestFit="1" customWidth="1"/>
    <col min="21" max="21" width="7.33203125" style="2" bestFit="1" customWidth="1"/>
    <col min="22" max="22" width="8.6640625" style="2"/>
    <col min="23" max="23" width="4.6640625" style="2" bestFit="1" customWidth="1"/>
    <col min="24" max="24" width="10.6640625" style="2" bestFit="1" customWidth="1"/>
    <col min="25" max="26" width="5" style="2" bestFit="1" customWidth="1"/>
    <col min="27" max="27" width="4.83203125" style="2" bestFit="1" customWidth="1"/>
    <col min="28" max="28" width="15.08203125" style="2" bestFit="1" customWidth="1"/>
    <col min="29" max="30" width="8.6640625" style="2"/>
    <col min="31" max="31" width="6.5" style="2" bestFit="1" customWidth="1"/>
    <col min="32" max="32" width="9.5" style="2" bestFit="1" customWidth="1"/>
    <col min="33" max="33" width="8.6640625" style="2"/>
    <col min="34" max="34" width="12.33203125" style="2" customWidth="1"/>
    <col min="35" max="16384" width="8.6640625" style="2"/>
  </cols>
  <sheetData>
    <row r="1" spans="1:34" x14ac:dyDescent="0.25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25</v>
      </c>
      <c r="M1" s="1" t="s">
        <v>26</v>
      </c>
      <c r="N1" s="1" t="s">
        <v>27</v>
      </c>
      <c r="O1" s="1" t="s">
        <v>28</v>
      </c>
      <c r="P1" s="1" t="s">
        <v>29</v>
      </c>
      <c r="Q1" s="1" t="s">
        <v>30</v>
      </c>
      <c r="R1" s="1" t="s">
        <v>31</v>
      </c>
      <c r="S1" s="1" t="s">
        <v>32</v>
      </c>
      <c r="T1" s="1" t="s">
        <v>33</v>
      </c>
      <c r="U1" s="1" t="s">
        <v>34</v>
      </c>
      <c r="V1" s="1" t="s">
        <v>35</v>
      </c>
      <c r="W1" s="1" t="s">
        <v>36</v>
      </c>
      <c r="X1" s="1" t="s">
        <v>37</v>
      </c>
      <c r="Y1" s="1" t="s">
        <v>38</v>
      </c>
      <c r="Z1" s="1" t="s">
        <v>39</v>
      </c>
      <c r="AA1" s="1" t="s">
        <v>40</v>
      </c>
      <c r="AB1" s="1" t="s">
        <v>41</v>
      </c>
      <c r="AC1" s="1" t="s">
        <v>42</v>
      </c>
      <c r="AD1" s="1" t="s">
        <v>43</v>
      </c>
      <c r="AE1" s="1" t="s">
        <v>44</v>
      </c>
      <c r="AF1" s="1" t="s">
        <v>45</v>
      </c>
      <c r="AG1" s="1" t="s">
        <v>46</v>
      </c>
      <c r="AH1" s="1" t="s">
        <v>47</v>
      </c>
    </row>
    <row r="2" spans="1:34" ht="14" customHeight="1" x14ac:dyDescent="0.35">
      <c r="A2" s="3" t="s">
        <v>48</v>
      </c>
      <c r="B2" s="2" t="s">
        <v>49</v>
      </c>
      <c r="C2" s="2">
        <v>155921</v>
      </c>
      <c r="D2" s="2" t="s">
        <v>50</v>
      </c>
      <c r="E2" s="2" t="s">
        <v>51</v>
      </c>
      <c r="F2" s="2">
        <v>31</v>
      </c>
      <c r="G2" s="2" t="s">
        <v>52</v>
      </c>
      <c r="J2" s="2" t="s">
        <v>53</v>
      </c>
      <c r="K2" s="2">
        <v>395</v>
      </c>
      <c r="M2" s="2">
        <v>2</v>
      </c>
      <c r="N2" s="4" t="s">
        <v>54</v>
      </c>
      <c r="O2" s="4">
        <v>0.58208400000000005</v>
      </c>
      <c r="P2" s="2">
        <v>27.3</v>
      </c>
      <c r="Q2" s="2">
        <v>2</v>
      </c>
      <c r="S2" s="2">
        <v>0</v>
      </c>
      <c r="U2" s="2">
        <v>0</v>
      </c>
      <c r="V2" s="2">
        <v>0</v>
      </c>
      <c r="W2" s="2">
        <v>1</v>
      </c>
      <c r="X2" s="2">
        <v>87</v>
      </c>
      <c r="Y2" s="2">
        <v>1</v>
      </c>
      <c r="Z2" s="2">
        <v>1</v>
      </c>
      <c r="AA2" s="2" t="s">
        <v>55</v>
      </c>
      <c r="AB2" s="4" t="s">
        <v>54</v>
      </c>
      <c r="AC2" s="4">
        <v>0.58208400000000005</v>
      </c>
      <c r="AD2" s="2">
        <v>27.3</v>
      </c>
      <c r="AE2" s="2">
        <v>2</v>
      </c>
      <c r="AF2" s="5">
        <v>154143</v>
      </c>
      <c r="AG2" s="5" t="s">
        <v>56</v>
      </c>
      <c r="AH2" s="6" t="s">
        <v>57</v>
      </c>
    </row>
    <row r="3" spans="1:34" ht="14" customHeight="1" x14ac:dyDescent="0.35">
      <c r="A3" s="2" t="s">
        <v>48</v>
      </c>
      <c r="B3" s="2" t="s">
        <v>49</v>
      </c>
      <c r="C3" s="2">
        <v>155923</v>
      </c>
      <c r="D3" s="2" t="s">
        <v>50</v>
      </c>
      <c r="E3" s="2" t="s">
        <v>58</v>
      </c>
      <c r="F3" s="2">
        <v>8</v>
      </c>
      <c r="G3" s="2" t="s">
        <v>52</v>
      </c>
      <c r="J3" s="2" t="s">
        <v>53</v>
      </c>
      <c r="K3" s="2">
        <v>395</v>
      </c>
      <c r="M3" s="2">
        <v>1</v>
      </c>
      <c r="N3" s="4" t="s">
        <v>59</v>
      </c>
      <c r="O3" s="4">
        <v>0.72476799999999997</v>
      </c>
      <c r="P3" s="2">
        <v>27.3</v>
      </c>
      <c r="Q3" s="2">
        <v>1</v>
      </c>
      <c r="S3" s="2">
        <v>0</v>
      </c>
      <c r="U3" s="2">
        <v>0</v>
      </c>
      <c r="V3" s="2">
        <v>0</v>
      </c>
      <c r="W3" s="2">
        <v>1</v>
      </c>
      <c r="X3" s="4">
        <v>400</v>
      </c>
      <c r="Y3" s="2">
        <v>1</v>
      </c>
      <c r="Z3" s="2">
        <v>1</v>
      </c>
      <c r="AA3" s="2" t="s">
        <v>55</v>
      </c>
      <c r="AB3" s="4" t="s">
        <v>59</v>
      </c>
      <c r="AC3" s="4">
        <v>0.72476799999999997</v>
      </c>
      <c r="AD3" s="2">
        <v>27.3</v>
      </c>
      <c r="AE3" s="2">
        <v>1</v>
      </c>
      <c r="AF3" s="6">
        <v>154143</v>
      </c>
      <c r="AG3" s="6" t="s">
        <v>60</v>
      </c>
      <c r="AH3" s="6" t="s">
        <v>61</v>
      </c>
    </row>
    <row r="4" spans="1:34" ht="14.5" x14ac:dyDescent="0.35">
      <c r="A4" s="2" t="s">
        <v>48</v>
      </c>
      <c r="B4" s="2" t="s">
        <v>49</v>
      </c>
      <c r="C4" s="2">
        <v>156001</v>
      </c>
      <c r="D4" s="2" t="s">
        <v>62</v>
      </c>
      <c r="E4" s="2" t="s">
        <v>63</v>
      </c>
      <c r="F4" s="2">
        <v>4</v>
      </c>
      <c r="G4" s="2" t="s">
        <v>52</v>
      </c>
      <c r="J4" s="2" t="s">
        <v>53</v>
      </c>
      <c r="K4" s="2">
        <v>394</v>
      </c>
      <c r="M4" s="2">
        <v>1</v>
      </c>
      <c r="N4" s="4" t="s">
        <v>64</v>
      </c>
      <c r="O4" s="4">
        <v>0.95599999999999996</v>
      </c>
      <c r="P4" s="2">
        <v>28.6</v>
      </c>
      <c r="Q4" s="2">
        <v>1</v>
      </c>
      <c r="S4" s="2">
        <v>0</v>
      </c>
      <c r="U4" s="2">
        <v>0</v>
      </c>
      <c r="V4" s="2">
        <v>0</v>
      </c>
      <c r="W4" s="2">
        <v>1</v>
      </c>
      <c r="X4" s="4">
        <v>759</v>
      </c>
      <c r="Y4" s="2">
        <v>1</v>
      </c>
      <c r="Z4" s="2">
        <v>1</v>
      </c>
      <c r="AA4" s="2" t="s">
        <v>55</v>
      </c>
      <c r="AB4" s="4" t="s">
        <v>64</v>
      </c>
      <c r="AC4" s="4">
        <v>0.95599999999999996</v>
      </c>
      <c r="AD4" s="2">
        <v>28.6</v>
      </c>
      <c r="AE4" s="2">
        <v>1</v>
      </c>
      <c r="AF4" s="6">
        <v>154144</v>
      </c>
      <c r="AG4" s="6" t="s">
        <v>65</v>
      </c>
      <c r="AH4" s="6" t="s">
        <v>66</v>
      </c>
    </row>
    <row r="5" spans="1:34" ht="14.5" x14ac:dyDescent="0.35">
      <c r="A5" s="2" t="s">
        <v>48</v>
      </c>
      <c r="B5" s="2" t="s">
        <v>49</v>
      </c>
      <c r="C5" s="2">
        <v>156002</v>
      </c>
      <c r="D5" s="2" t="s">
        <v>62</v>
      </c>
      <c r="E5" s="2" t="s">
        <v>67</v>
      </c>
      <c r="F5" s="2">
        <v>3</v>
      </c>
      <c r="G5" s="2" t="s">
        <v>52</v>
      </c>
      <c r="J5" s="2" t="s">
        <v>53</v>
      </c>
      <c r="K5" s="2">
        <v>394</v>
      </c>
      <c r="M5" s="2">
        <v>1</v>
      </c>
      <c r="N5" s="4" t="s">
        <v>68</v>
      </c>
      <c r="O5" s="4">
        <v>1.5897600000000001</v>
      </c>
      <c r="P5" s="2">
        <v>60</v>
      </c>
      <c r="Q5" s="2">
        <v>1</v>
      </c>
      <c r="S5" s="2">
        <v>0</v>
      </c>
      <c r="U5" s="2">
        <v>0</v>
      </c>
      <c r="V5" s="2">
        <v>0</v>
      </c>
      <c r="W5" s="2">
        <v>1</v>
      </c>
      <c r="X5" s="4">
        <v>1414</v>
      </c>
      <c r="Y5" s="2">
        <v>1</v>
      </c>
      <c r="Z5" s="2">
        <v>1</v>
      </c>
      <c r="AA5" s="2" t="s">
        <v>55</v>
      </c>
      <c r="AB5" s="2" t="s">
        <v>69</v>
      </c>
      <c r="AC5" s="4">
        <v>1.5897600000000001</v>
      </c>
      <c r="AD5" s="2">
        <v>60</v>
      </c>
      <c r="AE5" s="2">
        <v>1</v>
      </c>
      <c r="AF5" s="6">
        <v>154144</v>
      </c>
      <c r="AG5" s="6" t="s">
        <v>70</v>
      </c>
      <c r="AH5" s="6" t="s">
        <v>71</v>
      </c>
    </row>
    <row r="6" spans="1:34" ht="14.5" x14ac:dyDescent="0.35">
      <c r="A6" s="2" t="s">
        <v>48</v>
      </c>
      <c r="B6" s="2" t="s">
        <v>49</v>
      </c>
      <c r="C6" s="2">
        <v>156003</v>
      </c>
      <c r="D6" s="2" t="s">
        <v>62</v>
      </c>
      <c r="E6" s="2" t="s">
        <v>72</v>
      </c>
      <c r="F6" s="2">
        <v>2</v>
      </c>
      <c r="G6" s="2" t="s">
        <v>52</v>
      </c>
      <c r="J6" s="2" t="s">
        <v>53</v>
      </c>
      <c r="K6" s="2">
        <v>394</v>
      </c>
      <c r="S6" s="2">
        <v>0</v>
      </c>
      <c r="T6" s="4" t="s">
        <v>73</v>
      </c>
      <c r="U6" s="2">
        <v>2.5344000000000002</v>
      </c>
      <c r="V6" s="2">
        <v>180</v>
      </c>
      <c r="W6" s="2">
        <v>1</v>
      </c>
      <c r="X6" s="4">
        <v>1794</v>
      </c>
      <c r="Y6" s="2">
        <v>1</v>
      </c>
      <c r="Z6" s="2">
        <v>1</v>
      </c>
      <c r="AA6" s="2" t="s">
        <v>74</v>
      </c>
      <c r="AB6" s="4" t="s">
        <v>73</v>
      </c>
      <c r="AC6" s="2">
        <v>2.5344000000000002</v>
      </c>
      <c r="AD6" s="2">
        <v>180</v>
      </c>
      <c r="AE6" s="2">
        <v>1</v>
      </c>
      <c r="AF6" s="6">
        <v>154144</v>
      </c>
      <c r="AG6" s="6" t="s">
        <v>75</v>
      </c>
      <c r="AH6" s="6" t="s">
        <v>76</v>
      </c>
    </row>
    <row r="7" spans="1:34" ht="14.5" x14ac:dyDescent="0.35">
      <c r="A7" s="2" t="s">
        <v>48</v>
      </c>
      <c r="B7" s="2" t="s">
        <v>49</v>
      </c>
      <c r="C7" s="2">
        <v>156004</v>
      </c>
      <c r="D7" s="2" t="s">
        <v>62</v>
      </c>
      <c r="E7" s="2" t="s">
        <v>77</v>
      </c>
      <c r="F7" s="2">
        <v>2</v>
      </c>
      <c r="G7" s="2" t="s">
        <v>52</v>
      </c>
      <c r="J7" s="2" t="s">
        <v>53</v>
      </c>
      <c r="K7" s="2">
        <v>394</v>
      </c>
      <c r="S7" s="2">
        <v>0</v>
      </c>
      <c r="T7" s="4" t="s">
        <v>78</v>
      </c>
      <c r="U7" s="2">
        <v>2.9106000000000001</v>
      </c>
      <c r="V7" s="2">
        <v>400</v>
      </c>
      <c r="W7" s="2">
        <v>1</v>
      </c>
      <c r="X7" s="4">
        <v>2500</v>
      </c>
      <c r="Y7" s="2">
        <v>1</v>
      </c>
      <c r="Z7" s="2">
        <v>1</v>
      </c>
      <c r="AA7" s="2" t="s">
        <v>74</v>
      </c>
      <c r="AB7" s="4" t="s">
        <v>78</v>
      </c>
      <c r="AC7" s="2">
        <v>2.9106000000000001</v>
      </c>
      <c r="AD7" s="2">
        <v>400</v>
      </c>
      <c r="AE7" s="2">
        <v>1</v>
      </c>
      <c r="AF7" s="6">
        <v>154144</v>
      </c>
      <c r="AG7" s="6" t="s">
        <v>79</v>
      </c>
      <c r="AH7" s="6" t="s">
        <v>80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Shiplist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yunshan tie</dc:creator>
  <cp:lastModifiedBy>tieyu</cp:lastModifiedBy>
  <dcterms:created xsi:type="dcterms:W3CDTF">2015-06-05T18:17:20Z</dcterms:created>
  <dcterms:modified xsi:type="dcterms:W3CDTF">2026-06-08T14:07:53Z</dcterms:modified>
</cp:coreProperties>
</file>